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35c396ddaaffbe40/Documents/"/>
    </mc:Choice>
  </mc:AlternateContent>
  <xr:revisionPtr revIDLastSave="0" documentId="8_{2DCED767-0200-453F-BF4A-C02DE0BE702A}" xr6:coauthVersionLast="47" xr6:coauthVersionMax="47" xr10:uidLastSave="{00000000-0000-0000-0000-000000000000}"/>
  <bookViews>
    <workbookView xWindow="-108" yWindow="-108" windowWidth="23256" windowHeight="12576" xr2:uid="{A7E953DF-C7FE-4D7D-8CC5-4878D1BF75A5}"/>
  </bookViews>
  <sheets>
    <sheet name="Sheet Design" sheetId="1" r:id="rId1"/>
  </sheets>
  <definedNames>
    <definedName name="_xlchart.v2.0" hidden="1">'Sheet Design'!$D$71:$D$73</definedName>
    <definedName name="_xlchart.v2.1" hidden="1">'Sheet Design'!$E$71:$E$73</definedName>
    <definedName name="Slicer_Item_Type1">#N/A</definedName>
    <definedName name="Slicer_Outlet_Location_Type1">#N/A</definedName>
    <definedName name="Slicer_Outlet_Size1">#N/A</definedName>
  </definedNames>
  <calcPr calcId="191029"/>
  <pivotCaches>
    <pivotCache cacheId="0" r:id="rId2"/>
  </pivotCaches>
  <extLs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8" i="1" l="1"/>
  <c r="B8" i="1"/>
  <c r="C8" i="1"/>
  <c r="D8" i="1"/>
  <c r="D71" i="1"/>
  <c r="E71" i="1"/>
  <c r="D72" i="1"/>
  <c r="D73" i="1"/>
  <c r="E72" i="1"/>
  <c r="E73" i="1"/>
</calcChain>
</file>

<file path=xl/sharedStrings.xml><?xml version="1.0" encoding="utf-8"?>
<sst xmlns="http://schemas.openxmlformats.org/spreadsheetml/2006/main" count="77" uniqueCount="52">
  <si>
    <t>Supermarket Type1</t>
  </si>
  <si>
    <t>Supermarket Type2</t>
  </si>
  <si>
    <t>Supermarket Type3</t>
  </si>
  <si>
    <t>Grocery Store</t>
  </si>
  <si>
    <t>Count of Serial No.</t>
  </si>
  <si>
    <t>Outlet Type</t>
  </si>
  <si>
    <t>Average of Sales</t>
  </si>
  <si>
    <t>Sum of Sales</t>
  </si>
  <si>
    <t>ALL METRICS BY OUTLET TYPE</t>
  </si>
  <si>
    <t>Tier 1</t>
  </si>
  <si>
    <t>Tier 2</t>
  </si>
  <si>
    <t>Tier 3</t>
  </si>
  <si>
    <t>OUTLET LOCATION</t>
  </si>
  <si>
    <t>Outlet Location Type</t>
  </si>
  <si>
    <t>SALES BY OUTLET LOCATION</t>
  </si>
  <si>
    <t>Small</t>
  </si>
  <si>
    <t>Medium</t>
  </si>
  <si>
    <t>High</t>
  </si>
  <si>
    <t>Outlet Size</t>
  </si>
  <si>
    <t>SALES BY OUTLET SIZE</t>
  </si>
  <si>
    <t>Outlet Establishment Year</t>
  </si>
  <si>
    <t>TOTAL SALES BY OUTLET ESTABLISHMENT</t>
  </si>
  <si>
    <t>Fruits and Vegetables</t>
  </si>
  <si>
    <t>Snack Foods</t>
  </si>
  <si>
    <t>Household</t>
  </si>
  <si>
    <t>Frozen Foods</t>
  </si>
  <si>
    <t>Dairy</t>
  </si>
  <si>
    <t>Canned</t>
  </si>
  <si>
    <t>Baking Goods</t>
  </si>
  <si>
    <t>Health and Hygiene</t>
  </si>
  <si>
    <t>Meat</t>
  </si>
  <si>
    <t>Soft Drinks</t>
  </si>
  <si>
    <t>Breads</t>
  </si>
  <si>
    <t>Hard Drinks</t>
  </si>
  <si>
    <t>Others</t>
  </si>
  <si>
    <t>Starchy Foods</t>
  </si>
  <si>
    <t>Breakfast</t>
  </si>
  <si>
    <t>Seafood</t>
  </si>
  <si>
    <t>Item Type</t>
  </si>
  <si>
    <t>TOTAL SALES BY ITEM TYPE</t>
  </si>
  <si>
    <t>Low Fat</t>
  </si>
  <si>
    <t>Regular</t>
  </si>
  <si>
    <t>Item Fat Content</t>
  </si>
  <si>
    <t>FOR CONTENT BY OUTLET FOR TOTAL SALES</t>
  </si>
  <si>
    <t>TOTAL SALES BY FAT CONTENT</t>
  </si>
  <si>
    <t>Average Rating</t>
  </si>
  <si>
    <t>Number of items</t>
  </si>
  <si>
    <t>Average Sales</t>
  </si>
  <si>
    <t>Total Sales</t>
  </si>
  <si>
    <t>Average of Rating</t>
  </si>
  <si>
    <t>Number of Items</t>
  </si>
  <si>
    <t>KPI'S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</si>
</sst>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quot;K&quot;"/>
    <numFmt numFmtId="165" formatCode="[$₹-4009]\ #,##0"/>
    <numFmt numFmtId="167" formatCode="[$₹-4009]\ #,##0.00"/>
    <numFmt numFmtId="168" formatCode="\₹\ 000.00&quot;K&quot;"/>
    <numFmt numFmtId="169" formatCode="0.0"/>
    <numFmt numFmtId="170" formatCode="[$₹-4009]\ #,##0.0"/>
    <numFmt numFmtId="172" formatCode="\₹\ 0.00,,&quot;M&quot;"/>
  </numFmts>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6">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38">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1" fontId="0" fillId="0" borderId="6" xfId="0" applyNumberFormat="1" applyBorder="1"/>
    <xf numFmtId="0" fontId="0" fillId="0" borderId="6" xfId="0" applyBorder="1"/>
    <xf numFmtId="1" fontId="0" fillId="0" borderId="7" xfId="0" applyNumberFormat="1" applyBorder="1"/>
    <xf numFmtId="0" fontId="0" fillId="0" borderId="7" xfId="0" applyBorder="1"/>
    <xf numFmtId="1" fontId="0" fillId="0" borderId="8" xfId="0" applyNumberFormat="1" applyBorder="1"/>
    <xf numFmtId="0" fontId="0" fillId="0" borderId="8" xfId="0" applyBorder="1"/>
    <xf numFmtId="0" fontId="0" fillId="0" borderId="9" xfId="0" applyBorder="1"/>
    <xf numFmtId="170" fontId="0" fillId="0" borderId="6" xfId="0" applyNumberFormat="1" applyBorder="1"/>
    <xf numFmtId="170" fontId="0" fillId="0" borderId="7" xfId="0" applyNumberFormat="1" applyBorder="1"/>
    <xf numFmtId="170" fontId="0" fillId="0" borderId="8" xfId="0" applyNumberFormat="1" applyBorder="1"/>
    <xf numFmtId="164" fontId="0" fillId="0" borderId="6" xfId="0" applyNumberFormat="1" applyBorder="1"/>
    <xf numFmtId="164" fontId="0" fillId="0" borderId="7" xfId="0" applyNumberFormat="1" applyBorder="1"/>
    <xf numFmtId="164" fontId="0" fillId="0" borderId="8" xfId="0" applyNumberFormat="1" applyBorder="1"/>
    <xf numFmtId="0" fontId="0" fillId="2" borderId="10" xfId="0" applyFill="1" applyBorder="1" applyAlignment="1">
      <alignment horizontal="center"/>
    </xf>
    <xf numFmtId="0" fontId="0" fillId="2" borderId="11" xfId="0" applyFill="1" applyBorder="1" applyAlignment="1">
      <alignment horizontal="center"/>
    </xf>
    <xf numFmtId="0" fontId="0" fillId="0" borderId="12" xfId="0" applyBorder="1"/>
    <xf numFmtId="0" fontId="0" fillId="0" borderId="10" xfId="0" applyBorder="1"/>
    <xf numFmtId="0" fontId="0" fillId="0" borderId="11" xfId="0" applyBorder="1"/>
    <xf numFmtId="164" fontId="0" fillId="0" borderId="1" xfId="0" applyNumberFormat="1" applyBorder="1"/>
    <xf numFmtId="164" fontId="0" fillId="0" borderId="3" xfId="0" applyNumberFormat="1" applyBorder="1"/>
    <xf numFmtId="164" fontId="0" fillId="0" borderId="4" xfId="0" applyNumberFormat="1" applyBorder="1"/>
    <xf numFmtId="164" fontId="0" fillId="0" borderId="5" xfId="0" applyNumberFormat="1" applyBorder="1"/>
    <xf numFmtId="164" fontId="0" fillId="0" borderId="12" xfId="0" applyNumberFormat="1" applyBorder="1"/>
    <xf numFmtId="164" fontId="0" fillId="0" borderId="11" xfId="0" applyNumberFormat="1" applyBorder="1"/>
    <xf numFmtId="0" fontId="0" fillId="0" borderId="13" xfId="0" applyBorder="1"/>
    <xf numFmtId="0" fontId="0" fillId="0" borderId="14" xfId="0" applyBorder="1"/>
    <xf numFmtId="169" fontId="0" fillId="0" borderId="2" xfId="0" applyNumberFormat="1" applyBorder="1"/>
    <xf numFmtId="168" fontId="0" fillId="0" borderId="14" xfId="0" applyNumberFormat="1" applyBorder="1"/>
    <xf numFmtId="172" fontId="0" fillId="0" borderId="14" xfId="0" applyNumberFormat="1" applyBorder="1"/>
    <xf numFmtId="169" fontId="0" fillId="0" borderId="13" xfId="0" applyNumberFormat="1" applyBorder="1"/>
    <xf numFmtId="0" fontId="0" fillId="0" borderId="15" xfId="0" applyBorder="1"/>
    <xf numFmtId="167" fontId="0" fillId="0" borderId="14" xfId="0" applyNumberFormat="1" applyBorder="1"/>
  </cellXfs>
  <cellStyles count="1">
    <cellStyle name="Normal" xfId="0" builtinId="0"/>
  </cellStyles>
  <dxfs count="15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
    </dxf>
    <dxf>
      <numFmt numFmtId="171"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4009]\ #,##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9" formatCode="0.0"/>
    </dxf>
    <dxf>
      <numFmt numFmtId="167" formatCode="[$₹-4009]\ #,##0.00"/>
    </dxf>
    <dxf>
      <numFmt numFmtId="168" formatCode="\₹\ 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4009]\ #,##0.00"/>
    </dxf>
    <dxf>
      <numFmt numFmtId="164" formatCode="0.0,&quot;K&quot;"/>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4009]\ #,##0.00"/>
    </dxf>
    <dxf>
      <numFmt numFmtId="164" formatCode="0.0,&quot;K&quot;"/>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4009]\ #,##0"/>
    </dxf>
    <dxf>
      <numFmt numFmtId="165" formatCode="[$₹-4009]\ #,##0"/>
    </dxf>
    <dxf>
      <numFmt numFmtId="164" formatCode="0.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 Design.xlsx]Sheet Design!PivotTable2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14-43CD-8F20-FA585C4CFB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14-43CD-8F20-FA585C4CFBD7}"/>
              </c:ext>
            </c:extLst>
          </c:dPt>
          <c:cat>
            <c:strRef>
              <c:f>'Sheet Design'!$A$13:$A$14</c:f>
              <c:strCache>
                <c:ptCount val="2"/>
                <c:pt idx="0">
                  <c:v>Low Fat</c:v>
                </c:pt>
                <c:pt idx="1">
                  <c:v>Regular</c:v>
                </c:pt>
              </c:strCache>
            </c:strRef>
          </c:cat>
          <c:val>
            <c:numRef>
              <c:f>'Sheet Design'!$B$13:$B$14</c:f>
              <c:numCache>
                <c:formatCode>0.0,"K"</c:formatCode>
                <c:ptCount val="2"/>
                <c:pt idx="0">
                  <c:v>22269.793999999994</c:v>
                </c:pt>
                <c:pt idx="1">
                  <c:v>37180.069799999997</c:v>
                </c:pt>
              </c:numCache>
            </c:numRef>
          </c:val>
          <c:extLst>
            <c:ext xmlns:c16="http://schemas.microsoft.com/office/drawing/2014/chart" uri="{C3380CC4-5D6E-409C-BE32-E72D297353CC}">
              <c16:uniqueId val="{00000004-7114-43CD-8F20-FA585C4CFBD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 Design.xlsx]Sheet Design!PivotTable4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Design'!$B$18:$B$19</c:f>
              <c:strCache>
                <c:ptCount val="1"/>
                <c:pt idx="0">
                  <c:v>Regular</c:v>
                </c:pt>
              </c:strCache>
            </c:strRef>
          </c:tx>
          <c:spPr>
            <a:solidFill>
              <a:schemeClr val="accent1"/>
            </a:solidFill>
            <a:ln>
              <a:noFill/>
            </a:ln>
            <a:effectLst/>
          </c:spPr>
          <c:invertIfNegative val="0"/>
          <c:cat>
            <c:strRef>
              <c:f>'Sheet Design'!$A$20:$A$22</c:f>
              <c:strCache>
                <c:ptCount val="3"/>
                <c:pt idx="0">
                  <c:v>Tier 1</c:v>
                </c:pt>
                <c:pt idx="1">
                  <c:v>Tier 2</c:v>
                </c:pt>
                <c:pt idx="2">
                  <c:v>Tier 3</c:v>
                </c:pt>
              </c:strCache>
            </c:strRef>
          </c:cat>
          <c:val>
            <c:numRef>
              <c:f>'Sheet Design'!$B$20:$B$22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FBE-4DEB-950D-3502B264E659}"/>
            </c:ext>
          </c:extLst>
        </c:ser>
        <c:ser>
          <c:idx val="1"/>
          <c:order val="1"/>
          <c:tx>
            <c:strRef>
              <c:f>'Sheet Design'!$C$18:$C$19</c:f>
              <c:strCache>
                <c:ptCount val="1"/>
                <c:pt idx="0">
                  <c:v>Low Fat</c:v>
                </c:pt>
              </c:strCache>
            </c:strRef>
          </c:tx>
          <c:spPr>
            <a:solidFill>
              <a:schemeClr val="accent2"/>
            </a:solidFill>
            <a:ln>
              <a:noFill/>
            </a:ln>
            <a:effectLst/>
          </c:spPr>
          <c:invertIfNegative val="0"/>
          <c:cat>
            <c:strRef>
              <c:f>'Sheet Design'!$A$20:$A$22</c:f>
              <c:strCache>
                <c:ptCount val="3"/>
                <c:pt idx="0">
                  <c:v>Tier 1</c:v>
                </c:pt>
                <c:pt idx="1">
                  <c:v>Tier 2</c:v>
                </c:pt>
                <c:pt idx="2">
                  <c:v>Tier 3</c:v>
                </c:pt>
              </c:strCache>
            </c:strRef>
          </c:cat>
          <c:val>
            <c:numRef>
              <c:f>'Sheet Design'!$C$20:$C$22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FBE-4DEB-950D-3502B264E659}"/>
            </c:ext>
          </c:extLst>
        </c:ser>
        <c:dLbls>
          <c:showLegendKey val="0"/>
          <c:showVal val="0"/>
          <c:showCatName val="0"/>
          <c:showSerName val="0"/>
          <c:showPercent val="0"/>
          <c:showBubbleSize val="0"/>
        </c:dLbls>
        <c:gapWidth val="60"/>
        <c:axId val="1946746655"/>
        <c:axId val="1946752479"/>
      </c:barChart>
      <c:catAx>
        <c:axId val="194674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52479"/>
        <c:crosses val="autoZero"/>
        <c:auto val="1"/>
        <c:lblAlgn val="ctr"/>
        <c:lblOffset val="100"/>
        <c:noMultiLvlLbl val="0"/>
      </c:catAx>
      <c:valAx>
        <c:axId val="1946752479"/>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19467466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 Design.xlsx]Sheet Design!PivotTable5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Design'!$B$27</c:f>
              <c:strCache>
                <c:ptCount val="1"/>
                <c:pt idx="0">
                  <c:v>Total</c:v>
                </c:pt>
              </c:strCache>
            </c:strRef>
          </c:tx>
          <c:spPr>
            <a:solidFill>
              <a:schemeClr val="accent1"/>
            </a:solidFill>
            <a:ln>
              <a:noFill/>
            </a:ln>
            <a:effectLst/>
          </c:spPr>
          <c:invertIfNegative val="0"/>
          <c:cat>
            <c:strRef>
              <c:f>'Sheet Design'!$A$28:$A$43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Design'!$B$28:$B$43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214-40C0-8CC8-103CBD607D9F}"/>
            </c:ext>
          </c:extLst>
        </c:ser>
        <c:dLbls>
          <c:showLegendKey val="0"/>
          <c:showVal val="0"/>
          <c:showCatName val="0"/>
          <c:showSerName val="0"/>
          <c:showPercent val="0"/>
          <c:showBubbleSize val="0"/>
        </c:dLbls>
        <c:gapWidth val="182"/>
        <c:axId val="2014938063"/>
        <c:axId val="2014935983"/>
      </c:barChart>
      <c:catAx>
        <c:axId val="201493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935983"/>
        <c:crosses val="autoZero"/>
        <c:auto val="1"/>
        <c:lblAlgn val="ctr"/>
        <c:lblOffset val="100"/>
        <c:noMultiLvlLbl val="0"/>
      </c:catAx>
      <c:valAx>
        <c:axId val="2014935983"/>
        <c:scaling>
          <c:orientation val="minMax"/>
        </c:scaling>
        <c:delete val="1"/>
        <c:axPos val="b"/>
        <c:numFmt formatCode="0.0,&quot;K&quot;" sourceLinked="1"/>
        <c:majorTickMark val="none"/>
        <c:minorTickMark val="none"/>
        <c:tickLblPos val="nextTo"/>
        <c:crossAx val="201493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 Design.xlsx]Sheet Design!PivotTable6</c:name>
    <c:fmtId val="21"/>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Design'!$B$48</c:f>
              <c:strCache>
                <c:ptCount val="1"/>
                <c:pt idx="0">
                  <c:v>Total</c:v>
                </c:pt>
              </c:strCache>
            </c:strRef>
          </c:tx>
          <c:spPr>
            <a:solidFill>
              <a:schemeClr val="accent1"/>
            </a:solidFill>
            <a:ln w="25400">
              <a:noFill/>
            </a:ln>
            <a:effectLst/>
          </c:spPr>
          <c:cat>
            <c:strRef>
              <c:f>'Sheet Design'!$A$49:$A$57</c:f>
              <c:strCache>
                <c:ptCount val="9"/>
                <c:pt idx="0">
                  <c:v>2011</c:v>
                </c:pt>
                <c:pt idx="1">
                  <c:v>2012</c:v>
                </c:pt>
                <c:pt idx="2">
                  <c:v>2014</c:v>
                </c:pt>
                <c:pt idx="3">
                  <c:v>2015</c:v>
                </c:pt>
                <c:pt idx="4">
                  <c:v>2016</c:v>
                </c:pt>
                <c:pt idx="5">
                  <c:v>2017</c:v>
                </c:pt>
                <c:pt idx="6">
                  <c:v>2018</c:v>
                </c:pt>
                <c:pt idx="7">
                  <c:v>2020</c:v>
                </c:pt>
                <c:pt idx="8">
                  <c:v>2022</c:v>
                </c:pt>
              </c:strCache>
            </c:strRef>
          </c:cat>
          <c:val>
            <c:numRef>
              <c:f>'Sheet Design'!$B$49:$B$57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502-44B0-A419-1298D314FE65}"/>
            </c:ext>
          </c:extLst>
        </c:ser>
        <c:dLbls>
          <c:showLegendKey val="0"/>
          <c:showVal val="0"/>
          <c:showCatName val="0"/>
          <c:showSerName val="0"/>
          <c:showPercent val="0"/>
          <c:showBubbleSize val="0"/>
        </c:dLbls>
        <c:axId val="2014929327"/>
        <c:axId val="2014934319"/>
      </c:areaChart>
      <c:catAx>
        <c:axId val="2014929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934319"/>
        <c:crosses val="autoZero"/>
        <c:auto val="1"/>
        <c:lblAlgn val="ctr"/>
        <c:lblOffset val="100"/>
        <c:noMultiLvlLbl val="0"/>
      </c:catAx>
      <c:valAx>
        <c:axId val="2014934319"/>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9293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 Design.xlsx]Sheet Design!PivotTable8</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 Design'!$B$61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EF-4B97-B6FE-D68AF04203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EF-4B97-B6FE-D68AF04203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EF-4B97-B6FE-D68AF042038F}"/>
              </c:ext>
            </c:extLst>
          </c:dPt>
          <c:cat>
            <c:strRef>
              <c:f>'Sheet Design'!$A$62:$A$64</c:f>
              <c:strCache>
                <c:ptCount val="3"/>
                <c:pt idx="0">
                  <c:v>High</c:v>
                </c:pt>
                <c:pt idx="1">
                  <c:v>Medium</c:v>
                </c:pt>
                <c:pt idx="2">
                  <c:v>Small</c:v>
                </c:pt>
              </c:strCache>
            </c:strRef>
          </c:cat>
          <c:val>
            <c:numRef>
              <c:f>'Sheet Design'!$B$62:$B$64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CEF-4B97-B6FE-D68AF04203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 Design.xlsx]Sheet Design!PivotTable3</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Design'!$B$79</c:f>
              <c:strCache>
                <c:ptCount val="1"/>
                <c:pt idx="0">
                  <c:v>Total</c:v>
                </c:pt>
              </c:strCache>
            </c:strRef>
          </c:tx>
          <c:spPr>
            <a:solidFill>
              <a:schemeClr val="accent1"/>
            </a:solidFill>
            <a:ln>
              <a:noFill/>
            </a:ln>
            <a:effectLst/>
          </c:spPr>
          <c:invertIfNegative val="0"/>
          <c:cat>
            <c:strRef>
              <c:f>'Sheet Design'!$A$80:$A$83</c:f>
              <c:strCache>
                <c:ptCount val="4"/>
                <c:pt idx="0">
                  <c:v>Grocery Store</c:v>
                </c:pt>
                <c:pt idx="1">
                  <c:v>Supermarket Type3</c:v>
                </c:pt>
                <c:pt idx="2">
                  <c:v>Supermarket Type2</c:v>
                </c:pt>
                <c:pt idx="3">
                  <c:v>Supermarket Type1</c:v>
                </c:pt>
              </c:strCache>
            </c:strRef>
          </c:cat>
          <c:val>
            <c:numRef>
              <c:f>'Sheet Design'!$B$80:$B$83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83E-4BAF-9B3D-796DCB00A5A9}"/>
            </c:ext>
          </c:extLst>
        </c:ser>
        <c:dLbls>
          <c:showLegendKey val="0"/>
          <c:showVal val="0"/>
          <c:showCatName val="0"/>
          <c:showSerName val="0"/>
          <c:showPercent val="0"/>
          <c:showBubbleSize val="0"/>
        </c:dLbls>
        <c:gapWidth val="182"/>
        <c:axId val="472097199"/>
        <c:axId val="472096783"/>
      </c:barChart>
      <c:catAx>
        <c:axId val="47209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096783"/>
        <c:crosses val="autoZero"/>
        <c:auto val="1"/>
        <c:lblAlgn val="ctr"/>
        <c:lblOffset val="100"/>
        <c:noMultiLvlLbl val="0"/>
      </c:catAx>
      <c:valAx>
        <c:axId val="472096783"/>
        <c:scaling>
          <c:orientation val="minMax"/>
        </c:scaling>
        <c:delete val="1"/>
        <c:axPos val="b"/>
        <c:numFmt formatCode="0.0,&quot;K&quot;" sourceLinked="1"/>
        <c:majorTickMark val="none"/>
        <c:minorTickMark val="none"/>
        <c:tickLblPos val="nextTo"/>
        <c:crossAx val="472097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 Design.xlsx]Sheet Design!PivotTable7</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Design'!$B$86</c:f>
              <c:strCache>
                <c:ptCount val="1"/>
                <c:pt idx="0">
                  <c:v>Total</c:v>
                </c:pt>
              </c:strCache>
            </c:strRef>
          </c:tx>
          <c:spPr>
            <a:solidFill>
              <a:schemeClr val="accent1"/>
            </a:solidFill>
            <a:ln>
              <a:noFill/>
            </a:ln>
            <a:effectLst/>
          </c:spPr>
          <c:invertIfNegative val="0"/>
          <c:cat>
            <c:strRef>
              <c:f>'Sheet Design'!$A$87:$A$90</c:f>
              <c:strCache>
                <c:ptCount val="4"/>
                <c:pt idx="0">
                  <c:v>Grocery Store</c:v>
                </c:pt>
                <c:pt idx="1">
                  <c:v>Supermarket Type3</c:v>
                </c:pt>
                <c:pt idx="2">
                  <c:v>Supermarket Type2</c:v>
                </c:pt>
                <c:pt idx="3">
                  <c:v>Supermarket Type1</c:v>
                </c:pt>
              </c:strCache>
            </c:strRef>
          </c:cat>
          <c:val>
            <c:numRef>
              <c:f>'Sheet Design'!$B$87:$B$90</c:f>
              <c:numCache>
                <c:formatCode>[$₹-4009]\ #,##0.0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E70-4CFA-9DEA-5430C1BC0D60}"/>
            </c:ext>
          </c:extLst>
        </c:ser>
        <c:dLbls>
          <c:showLegendKey val="0"/>
          <c:showVal val="0"/>
          <c:showCatName val="0"/>
          <c:showSerName val="0"/>
          <c:showPercent val="0"/>
          <c:showBubbleSize val="0"/>
        </c:dLbls>
        <c:gapWidth val="182"/>
        <c:axId val="618834175"/>
        <c:axId val="618834591"/>
      </c:barChart>
      <c:catAx>
        <c:axId val="61883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834591"/>
        <c:crosses val="autoZero"/>
        <c:auto val="1"/>
        <c:lblAlgn val="ctr"/>
        <c:lblOffset val="100"/>
        <c:noMultiLvlLbl val="0"/>
      </c:catAx>
      <c:valAx>
        <c:axId val="618834591"/>
        <c:scaling>
          <c:orientation val="minMax"/>
        </c:scaling>
        <c:delete val="1"/>
        <c:axPos val="b"/>
        <c:numFmt formatCode="[$₹-4009]\ #,##0.0" sourceLinked="1"/>
        <c:majorTickMark val="none"/>
        <c:minorTickMark val="none"/>
        <c:tickLblPos val="nextTo"/>
        <c:crossAx val="61883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 Design.xlsx]Sheet Design!PivotTable10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Design'!$B$96</c:f>
              <c:strCache>
                <c:ptCount val="1"/>
                <c:pt idx="0">
                  <c:v>Total</c:v>
                </c:pt>
              </c:strCache>
            </c:strRef>
          </c:tx>
          <c:spPr>
            <a:solidFill>
              <a:schemeClr val="accent1"/>
            </a:solidFill>
            <a:ln>
              <a:noFill/>
            </a:ln>
            <a:effectLst/>
          </c:spPr>
          <c:invertIfNegative val="0"/>
          <c:cat>
            <c:strRef>
              <c:f>'Sheet Design'!$A$97:$A$100</c:f>
              <c:strCache>
                <c:ptCount val="4"/>
                <c:pt idx="0">
                  <c:v>Grocery Store</c:v>
                </c:pt>
                <c:pt idx="1">
                  <c:v>Supermarket Type3</c:v>
                </c:pt>
                <c:pt idx="2">
                  <c:v>Supermarket Type2</c:v>
                </c:pt>
                <c:pt idx="3">
                  <c:v>Supermarket Type1</c:v>
                </c:pt>
              </c:strCache>
            </c:strRef>
          </c:cat>
          <c:val>
            <c:numRef>
              <c:f>'Sheet Design'!$B$97:$B$100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9D1-4B55-9A77-47ADDBCA9F46}"/>
            </c:ext>
          </c:extLst>
        </c:ser>
        <c:dLbls>
          <c:showLegendKey val="0"/>
          <c:showVal val="0"/>
          <c:showCatName val="0"/>
          <c:showSerName val="0"/>
          <c:showPercent val="0"/>
          <c:showBubbleSize val="0"/>
        </c:dLbls>
        <c:gapWidth val="182"/>
        <c:axId val="626078111"/>
        <c:axId val="624903935"/>
      </c:barChart>
      <c:catAx>
        <c:axId val="62607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03935"/>
        <c:crosses val="autoZero"/>
        <c:auto val="1"/>
        <c:lblAlgn val="ctr"/>
        <c:lblOffset val="100"/>
        <c:noMultiLvlLbl val="0"/>
      </c:catAx>
      <c:valAx>
        <c:axId val="624903935"/>
        <c:scaling>
          <c:orientation val="minMax"/>
        </c:scaling>
        <c:delete val="1"/>
        <c:axPos val="b"/>
        <c:numFmt formatCode="0" sourceLinked="1"/>
        <c:majorTickMark val="none"/>
        <c:minorTickMark val="none"/>
        <c:tickLblPos val="nextTo"/>
        <c:crossAx val="626078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D81A09F1-4CED-43E6-93B0-C3C98F7F6F9A}">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6</xdr:col>
      <xdr:colOff>426720</xdr:colOff>
      <xdr:row>1</xdr:row>
      <xdr:rowOff>30481</xdr:rowOff>
    </xdr:from>
    <xdr:ext cx="1828800" cy="1257299"/>
    <mc:AlternateContent xmlns:mc="http://schemas.openxmlformats.org/markup-compatibility/2006">
      <mc:Choice xmlns:a14="http://schemas.microsoft.com/office/drawing/2010/main" Requires="a14">
        <xdr:graphicFrame macro="">
          <xdr:nvGraphicFramePr>
            <xdr:cNvPr id="2" name="Outlet Size 2">
              <a:extLst>
                <a:ext uri="{FF2B5EF4-FFF2-40B4-BE49-F238E27FC236}">
                  <a16:creationId xmlns:a16="http://schemas.microsoft.com/office/drawing/2014/main" id="{4F20D493-43A9-4C74-8D4E-96609000B275}"/>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dr:sp macro="" textlink="">
          <xdr:nvSpPr>
            <xdr:cNvPr id="0" name=""/>
            <xdr:cNvSpPr>
              <a:spLocks noTextEdit="1"/>
            </xdr:cNvSpPr>
          </xdr:nvSpPr>
          <xdr:spPr>
            <a:xfrm>
              <a:off x="6362700" y="236221"/>
              <a:ext cx="1828800" cy="1257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xdr:col>
      <xdr:colOff>430530</xdr:colOff>
      <xdr:row>10</xdr:row>
      <xdr:rowOff>15240</xdr:rowOff>
    </xdr:from>
    <xdr:to>
      <xdr:col>7</xdr:col>
      <xdr:colOff>449580</xdr:colOff>
      <xdr:row>14</xdr:row>
      <xdr:rowOff>175260</xdr:rowOff>
    </xdr:to>
    <xdr:graphicFrame macro="">
      <xdr:nvGraphicFramePr>
        <xdr:cNvPr id="3" name="Chart 2">
          <a:extLst>
            <a:ext uri="{FF2B5EF4-FFF2-40B4-BE49-F238E27FC236}">
              <a16:creationId xmlns:a16="http://schemas.microsoft.com/office/drawing/2014/main" id="{7F325A5E-C3FB-4602-87AA-28CFAB5DF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16</xdr:row>
      <xdr:rowOff>45720</xdr:rowOff>
    </xdr:from>
    <xdr:to>
      <xdr:col>8</xdr:col>
      <xdr:colOff>563880</xdr:colOff>
      <xdr:row>22</xdr:row>
      <xdr:rowOff>190500</xdr:rowOff>
    </xdr:to>
    <xdr:graphicFrame macro="">
      <xdr:nvGraphicFramePr>
        <xdr:cNvPr id="4" name="Chart 3">
          <a:extLst>
            <a:ext uri="{FF2B5EF4-FFF2-40B4-BE49-F238E27FC236}">
              <a16:creationId xmlns:a16="http://schemas.microsoft.com/office/drawing/2014/main" id="{23BE014E-2D44-4894-93B4-05C0FE345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194310</xdr:colOff>
      <xdr:row>26</xdr:row>
      <xdr:rowOff>72390</xdr:rowOff>
    </xdr:from>
    <xdr:to>
      <xdr:col>9</xdr:col>
      <xdr:colOff>217170</xdr:colOff>
      <xdr:row>42</xdr:row>
      <xdr:rowOff>99060</xdr:rowOff>
    </xdr:to>
    <xdr:graphicFrame macro="">
      <xdr:nvGraphicFramePr>
        <xdr:cNvPr id="5" name="Chart 4">
          <a:extLst>
            <a:ext uri="{FF2B5EF4-FFF2-40B4-BE49-F238E27FC236}">
              <a16:creationId xmlns:a16="http://schemas.microsoft.com/office/drawing/2014/main" id="{C5A63601-049A-4919-BD67-FE727775F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68580</xdr:colOff>
      <xdr:row>46</xdr:row>
      <xdr:rowOff>137160</xdr:rowOff>
    </xdr:from>
    <xdr:to>
      <xdr:col>9</xdr:col>
      <xdr:colOff>617220</xdr:colOff>
      <xdr:row>56</xdr:row>
      <xdr:rowOff>152400</xdr:rowOff>
    </xdr:to>
    <xdr:graphicFrame macro="">
      <xdr:nvGraphicFramePr>
        <xdr:cNvPr id="6" name="Chart 5">
          <a:extLst>
            <a:ext uri="{FF2B5EF4-FFF2-40B4-BE49-F238E27FC236}">
              <a16:creationId xmlns:a16="http://schemas.microsoft.com/office/drawing/2014/main" id="{ABC123A0-F78A-438F-A0E3-5CE7E2DD7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476250</xdr:colOff>
      <xdr:row>59</xdr:row>
      <xdr:rowOff>80010</xdr:rowOff>
    </xdr:from>
    <xdr:to>
      <xdr:col>5</xdr:col>
      <xdr:colOff>472440</xdr:colOff>
      <xdr:row>65</xdr:row>
      <xdr:rowOff>167640</xdr:rowOff>
    </xdr:to>
    <xdr:graphicFrame macro="">
      <xdr:nvGraphicFramePr>
        <xdr:cNvPr id="7" name="Chart 6">
          <a:extLst>
            <a:ext uri="{FF2B5EF4-FFF2-40B4-BE49-F238E27FC236}">
              <a16:creationId xmlns:a16="http://schemas.microsoft.com/office/drawing/2014/main" id="{A61FBE27-618C-42A7-8781-5C9440657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476250</xdr:colOff>
      <xdr:row>68</xdr:row>
      <xdr:rowOff>106680</xdr:rowOff>
    </xdr:from>
    <xdr:to>
      <xdr:col>10</xdr:col>
      <xdr:colOff>495300</xdr:colOff>
      <xdr:row>74</xdr:row>
      <xdr:rowOff>91440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F3BAB61A-5681-437B-8C58-56BE96CECB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829050" y="13578840"/>
              <a:ext cx="3371850" cy="11734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556260</xdr:colOff>
      <xdr:row>76</xdr:row>
      <xdr:rowOff>95250</xdr:rowOff>
    </xdr:from>
    <xdr:to>
      <xdr:col>6</xdr:col>
      <xdr:colOff>533400</xdr:colOff>
      <xdr:row>83</xdr:row>
      <xdr:rowOff>175260</xdr:rowOff>
    </xdr:to>
    <xdr:graphicFrame macro="">
      <xdr:nvGraphicFramePr>
        <xdr:cNvPr id="9" name="Chart 8">
          <a:extLst>
            <a:ext uri="{FF2B5EF4-FFF2-40B4-BE49-F238E27FC236}">
              <a16:creationId xmlns:a16="http://schemas.microsoft.com/office/drawing/2014/main" id="{529C080A-8390-41D2-A4CE-6A8190DF7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533400</xdr:colOff>
      <xdr:row>85</xdr:row>
      <xdr:rowOff>3810</xdr:rowOff>
    </xdr:from>
    <xdr:to>
      <xdr:col>6</xdr:col>
      <xdr:colOff>579120</xdr:colOff>
      <xdr:row>92</xdr:row>
      <xdr:rowOff>60960</xdr:rowOff>
    </xdr:to>
    <xdr:graphicFrame macro="">
      <xdr:nvGraphicFramePr>
        <xdr:cNvPr id="10" name="Chart 9">
          <a:extLst>
            <a:ext uri="{FF2B5EF4-FFF2-40B4-BE49-F238E27FC236}">
              <a16:creationId xmlns:a16="http://schemas.microsoft.com/office/drawing/2014/main" id="{98887362-D7B7-48FB-A8AB-357B154EF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483870</xdr:colOff>
      <xdr:row>93</xdr:row>
      <xdr:rowOff>26670</xdr:rowOff>
    </xdr:from>
    <xdr:to>
      <xdr:col>6</xdr:col>
      <xdr:colOff>617220</xdr:colOff>
      <xdr:row>101</xdr:row>
      <xdr:rowOff>121920</xdr:rowOff>
    </xdr:to>
    <xdr:graphicFrame macro="">
      <xdr:nvGraphicFramePr>
        <xdr:cNvPr id="11" name="Chart 10">
          <a:extLst>
            <a:ext uri="{FF2B5EF4-FFF2-40B4-BE49-F238E27FC236}">
              <a16:creationId xmlns:a16="http://schemas.microsoft.com/office/drawing/2014/main" id="{6A7F2FE5-A2A0-4F6C-ADE7-FBE9DCAEC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9</xdr:col>
      <xdr:colOff>411480</xdr:colOff>
      <xdr:row>0</xdr:row>
      <xdr:rowOff>175261</xdr:rowOff>
    </xdr:from>
    <xdr:ext cx="1828800" cy="1257300"/>
    <mc:AlternateContent xmlns:mc="http://schemas.openxmlformats.org/markup-compatibility/2006">
      <mc:Choice xmlns:a14="http://schemas.microsoft.com/office/drawing/2010/main" Requires="a14">
        <xdr:graphicFrame macro="">
          <xdr:nvGraphicFramePr>
            <xdr:cNvPr id="12" name="Outlet Location Type 2">
              <a:extLst>
                <a:ext uri="{FF2B5EF4-FFF2-40B4-BE49-F238E27FC236}">
                  <a16:creationId xmlns:a16="http://schemas.microsoft.com/office/drawing/2014/main" id="{B7EE5334-3DBF-414A-B742-67F18F1F83AC}"/>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dr:sp macro="" textlink="">
          <xdr:nvSpPr>
            <xdr:cNvPr id="0" name=""/>
            <xdr:cNvSpPr>
              <a:spLocks noTextEdit="1"/>
            </xdr:cNvSpPr>
          </xdr:nvSpPr>
          <xdr:spPr>
            <a:xfrm>
              <a:off x="8359140" y="175261"/>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396240</xdr:colOff>
      <xdr:row>1</xdr:row>
      <xdr:rowOff>15240</xdr:rowOff>
    </xdr:from>
    <xdr:ext cx="1828800" cy="2362200"/>
    <mc:AlternateContent xmlns:mc="http://schemas.openxmlformats.org/markup-compatibility/2006">
      <mc:Choice xmlns:a14="http://schemas.microsoft.com/office/drawing/2010/main" Requires="a14">
        <xdr:graphicFrame macro="">
          <xdr:nvGraphicFramePr>
            <xdr:cNvPr id="13" name="Item Type 2">
              <a:extLst>
                <a:ext uri="{FF2B5EF4-FFF2-40B4-BE49-F238E27FC236}">
                  <a16:creationId xmlns:a16="http://schemas.microsoft.com/office/drawing/2014/main" id="{55DE6703-BECE-471B-B341-1EBB15DC8B72}"/>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dr:sp macro="" textlink="">
          <xdr:nvSpPr>
            <xdr:cNvPr id="0" name=""/>
            <xdr:cNvSpPr>
              <a:spLocks noTextEdit="1"/>
            </xdr:cNvSpPr>
          </xdr:nvSpPr>
          <xdr:spPr>
            <a:xfrm>
              <a:off x="10355580" y="220980"/>
              <a:ext cx="1828800" cy="2362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35c396ddaaffbe40/Desktop/BLINKIT%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4.461465972221" createdVersion="7" refreshedVersion="7" minRefreshableVersion="3" recordCount="8523" xr:uid="{5F847116-3DFF-451A-A8B5-0723007F9E59}">
  <cacheSource type="worksheet">
    <worksheetSource name="Table1" r:id="rId2"/>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10">
      <sharedItems containsSemiMixedTypes="0" containsString="0" containsNumber="1" minValue="0" maxValue="0.32839094800000002"/>
    </cacheField>
    <cacheField name="Item Weight" numFmtId="1">
      <sharedItems containsString="0" containsBlank="1" containsNumber="1" minValue="4.5549999999999997" maxValue="21.35"/>
    </cacheField>
    <cacheField name="Sales" numFmtId="165">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122338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n v="10.199999999999999"/>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n v="9.1"/>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n v="8.8000000000000007"/>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n v="8.1999999999999993"/>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n v="10.1"/>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n v="10.3"/>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n v="9.5"/>
    <n v="77.901200000000003"/>
    <n v="4"/>
  </r>
  <r>
    <x v="1"/>
    <n v="6472"/>
    <s v="DRP35"/>
    <x v="9"/>
    <x v="7"/>
    <s v="OUT019"/>
    <x v="0"/>
    <x v="1"/>
    <x v="2"/>
    <n v="0.15909690800000001"/>
    <n v="9.3000000000000007"/>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4D018F-6FF3-4A8A-BB43-A0969D72D05F}"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2">
  <location ref="A48:B57" firstHeaderRow="1" firstDataRow="1" firstDataCol="1"/>
  <pivotFields count="13">
    <pivotField compact="0" outline="0" showAll="0">
      <items count="3">
        <item x="0"/>
        <item x="1"/>
        <item t="default"/>
      </items>
    </pivotField>
    <pivotField compact="0" outline="0" subtotalTop="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axis="axisRow" compact="0" outline="0" showAll="0" sortType="ascending">
      <items count="10">
        <item x="6"/>
        <item x="0"/>
        <item x="3"/>
        <item x="4"/>
        <item x="2"/>
        <item x="8"/>
        <item x="7"/>
        <item x="5"/>
        <item x="1"/>
        <item t="default"/>
      </items>
    </pivotField>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numFmtId="10" outline="0" showAll="0"/>
    <pivotField compact="0" outline="0" showAll="0"/>
    <pivotField dataField="1" compact="0" outline="0" showAll="0"/>
    <pivotField compact="0" outline="0" showAll="0"/>
  </pivotFields>
  <rowFields count="1">
    <field x="4"/>
  </rowFields>
  <rowItems count="9">
    <i>
      <x/>
    </i>
    <i>
      <x v="1"/>
    </i>
    <i>
      <x v="2"/>
    </i>
    <i>
      <x v="3"/>
    </i>
    <i>
      <x v="4"/>
    </i>
    <i>
      <x v="5"/>
    </i>
    <i>
      <x v="6"/>
    </i>
    <i>
      <x v="7"/>
    </i>
    <i>
      <x v="8"/>
    </i>
  </rowItems>
  <colItems count="1">
    <i/>
  </colItems>
  <dataFields count="1">
    <dataField name="Sum of Sales" fld="11" baseField="0" baseItem="0" numFmtId="164"/>
  </dataFields>
  <formats count="15">
    <format dxfId="0">
      <pivotArea type="all" dataOnly="0" outline="0" fieldPosition="0"/>
    </format>
    <format dxfId="1">
      <pivotArea dataOnly="0" labelOnly="1" grandRow="1" outline="0" fieldPosition="0"/>
    </format>
    <format dxfId="2">
      <pivotArea type="all" dataOnly="0" outline="0" fieldPosition="0"/>
    </format>
    <format dxfId="3">
      <pivotArea outline="0" collapsedLevelsAreSubtotals="1" fieldPosition="0"/>
    </format>
    <format dxfId="4">
      <pivotArea type="origin" dataOnly="0" labelOnly="1" outline="0" fieldPosition="0"/>
    </format>
    <format dxfId="5">
      <pivotArea field="0" type="button" dataOnly="0" labelOnly="1" outline="0"/>
    </format>
    <format dxfId="6">
      <pivotArea type="topRight" dataOnly="0" labelOnly="1" outline="0" fieldPosition="0"/>
    </format>
    <format dxfId="7">
      <pivotArea field="6" type="button" dataOnly="0" labelOnly="1" outline="0"/>
    </format>
    <format dxfId="8">
      <pivotArea outline="0" collapsedLevelsAreSubtotals="1" fieldPosition="0"/>
    </format>
    <format dxfId="9">
      <pivotArea type="all" dataOnly="0" outline="0" fieldPosition="0"/>
    </format>
    <format dxfId="10">
      <pivotArea outline="0" collapsedLevelsAreSubtotals="1" fieldPosition="0"/>
    </format>
    <format dxfId="11">
      <pivotArea field="4" type="button" dataOnly="0" labelOnly="1" outline="0" axis="axisRow" fieldPosition="0"/>
    </format>
    <format dxfId="12">
      <pivotArea dataOnly="0" labelOnly="1" outline="0" fieldPosition="0">
        <references count="1">
          <reference field="4" count="0"/>
        </references>
      </pivotArea>
    </format>
    <format dxfId="13">
      <pivotArea dataOnly="0" labelOnly="1" outline="0" axis="axisValues" fieldPosition="0"/>
    </format>
    <format dxfId="14">
      <pivotArea outline="0" collapsedLevelsAreSubtotals="1" fieldPosition="0"/>
    </format>
  </formats>
  <chartFormats count="2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 chart="15" format="4">
      <pivotArea type="data" outline="0" fieldPosition="0">
        <references count="2">
          <reference field="4294967294" count="1" selected="0">
            <x v="0"/>
          </reference>
          <reference field="4" count="1" selected="0">
            <x v="1"/>
          </reference>
        </references>
      </pivotArea>
    </chartFormat>
    <chartFormat chart="15" format="5">
      <pivotArea type="data" outline="0" fieldPosition="0">
        <references count="2">
          <reference field="4294967294" count="1" selected="0">
            <x v="0"/>
          </reference>
          <reference field="4" count="1" selected="0">
            <x v="2"/>
          </reference>
        </references>
      </pivotArea>
    </chartFormat>
    <chartFormat chart="15" format="6">
      <pivotArea type="data" outline="0" fieldPosition="0">
        <references count="2">
          <reference field="4294967294" count="1" selected="0">
            <x v="0"/>
          </reference>
          <reference field="4" count="1" selected="0">
            <x v="3"/>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5"/>
          </reference>
        </references>
      </pivotArea>
    </chartFormat>
    <chartFormat chart="15" format="9">
      <pivotArea type="data" outline="0" fieldPosition="0">
        <references count="2">
          <reference field="4294967294" count="1" selected="0">
            <x v="0"/>
          </reference>
          <reference field="4" count="1" selected="0">
            <x v="6"/>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8"/>
          </reference>
        </references>
      </pivotArea>
    </chartFormat>
    <chartFormat chart="17"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0"/>
          </reference>
        </references>
      </pivotArea>
    </chartFormat>
    <chartFormat chart="19" format="4">
      <pivotArea type="data" outline="0" fieldPosition="0">
        <references count="2">
          <reference field="4294967294" count="1" selected="0">
            <x v="0"/>
          </reference>
          <reference field="4" count="1" selected="0">
            <x v="1"/>
          </reference>
        </references>
      </pivotArea>
    </chartFormat>
    <chartFormat chart="19" format="5">
      <pivotArea type="data" outline="0" fieldPosition="0">
        <references count="2">
          <reference field="4294967294" count="1" selected="0">
            <x v="0"/>
          </reference>
          <reference field="4" count="1" selected="0">
            <x v="2"/>
          </reference>
        </references>
      </pivotArea>
    </chartFormat>
    <chartFormat chart="19" format="6">
      <pivotArea type="data" outline="0" fieldPosition="0">
        <references count="2">
          <reference field="4294967294" count="1" selected="0">
            <x v="0"/>
          </reference>
          <reference field="4" count="1" selected="0">
            <x v="3"/>
          </reference>
        </references>
      </pivotArea>
    </chartFormat>
    <chartFormat chart="19" format="7">
      <pivotArea type="data" outline="0" fieldPosition="0">
        <references count="2">
          <reference field="4294967294" count="1" selected="0">
            <x v="0"/>
          </reference>
          <reference field="4" count="1" selected="0">
            <x v="4"/>
          </reference>
        </references>
      </pivotArea>
    </chartFormat>
    <chartFormat chart="19" format="8">
      <pivotArea type="data" outline="0" fieldPosition="0">
        <references count="2">
          <reference field="4294967294" count="1" selected="0">
            <x v="0"/>
          </reference>
          <reference field="4" count="1" selected="0">
            <x v="5"/>
          </reference>
        </references>
      </pivotArea>
    </chartFormat>
    <chartFormat chart="19" format="9">
      <pivotArea type="data" outline="0" fieldPosition="0">
        <references count="2">
          <reference field="4294967294" count="1" selected="0">
            <x v="0"/>
          </reference>
          <reference field="4" count="1" selected="0">
            <x v="6"/>
          </reference>
        </references>
      </pivotArea>
    </chartFormat>
    <chartFormat chart="19" format="10">
      <pivotArea type="data" outline="0" fieldPosition="0">
        <references count="2">
          <reference field="4294967294" count="1" selected="0">
            <x v="0"/>
          </reference>
          <reference field="4" count="1" selected="0">
            <x v="7"/>
          </reference>
        </references>
      </pivotArea>
    </chartFormat>
    <chartFormat chart="19" format="11">
      <pivotArea type="data" outline="0" fieldPosition="0">
        <references count="2">
          <reference field="4294967294" count="1" selected="0">
            <x v="0"/>
          </reference>
          <reference field="4" count="1" selected="0">
            <x v="8"/>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8721CA-0762-4B29-A505-F133A09B6426}"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8">
  <location ref="A96:B100" firstHeaderRow="1" firstDataRow="1" firstDataCol="1"/>
  <pivotFields count="13">
    <pivotField compact="0" outline="0" showAll="0">
      <items count="3">
        <item x="0"/>
        <item x="1"/>
        <item t="default"/>
      </items>
    </pivotField>
    <pivotField dataField="1" compact="0" outline="0" subtotalTop="0" showAll="0"/>
    <pivotField compact="0" outline="0" showAll="0"/>
    <pivotField compact="0" outline="0" showAll="0"/>
    <pivotField compact="0" outline="0" showAll="0" sortType="ascending"/>
    <pivotField compact="0" outline="0" showAll="0"/>
    <pivotField compact="0" outline="0" showAll="0">
      <items count="4">
        <item x="0"/>
        <item x="2"/>
        <item x="1"/>
        <item t="default"/>
      </items>
    </pivotField>
    <pivotField compact="0" outline="0" showAll="0">
      <items count="4">
        <item x="2"/>
        <item x="0"/>
        <item x="1"/>
        <item t="default"/>
      </items>
    </pivotField>
    <pivotField axis="axisRow" compact="0" outline="0" showAll="0">
      <items count="5">
        <item x="2"/>
        <item x="3"/>
        <item x="1"/>
        <item x="0"/>
        <item t="default"/>
      </items>
    </pivotField>
    <pivotField compact="0" numFmtId="10" outline="0" showAll="0"/>
    <pivotField compact="0" outline="0" showAll="0"/>
    <pivotField compact="0" outline="0" showAll="0"/>
    <pivotField compact="0" outline="0" showAll="0"/>
  </pivotFields>
  <rowFields count="1">
    <field x="8"/>
  </rowFields>
  <rowItems count="4">
    <i>
      <x/>
    </i>
    <i>
      <x v="1"/>
    </i>
    <i>
      <x v="2"/>
    </i>
    <i>
      <x v="3"/>
    </i>
  </rowItems>
  <colItems count="1">
    <i/>
  </colItems>
  <dataFields count="1">
    <dataField name="Count of Serial No." fld="1" subtotal="count" baseField="8" baseItem="0" numFmtId="1"/>
  </dataFields>
  <formats count="17">
    <format dxfId="15">
      <pivotArea type="all" dataOnly="0" outline="0" fieldPosition="0"/>
    </format>
    <format dxfId="16">
      <pivotArea dataOnly="0" labelOnly="1" grandRow="1" outline="0" fieldPosition="0"/>
    </format>
    <format dxfId="17">
      <pivotArea type="all" dataOnly="0" outline="0" fieldPosition="0"/>
    </format>
    <format dxfId="18">
      <pivotArea outline="0" collapsedLevelsAreSubtotals="1" fieldPosition="0"/>
    </format>
    <format dxfId="19">
      <pivotArea type="origin" dataOnly="0" labelOnly="1" outline="0" fieldPosition="0"/>
    </format>
    <format dxfId="20">
      <pivotArea field="0" type="button" dataOnly="0" labelOnly="1" outline="0"/>
    </format>
    <format dxfId="21">
      <pivotArea type="topRight" dataOnly="0" labelOnly="1" outline="0" fieldPosition="0"/>
    </format>
    <format dxfId="22">
      <pivotArea outline="0" collapsedLevelsAreSubtotals="1" fieldPosition="0"/>
    </format>
    <format dxfId="23">
      <pivotArea type="all" dataOnly="0" outline="0" fieldPosition="0"/>
    </format>
    <format dxfId="24">
      <pivotArea outline="0" collapsedLevelsAreSubtotals="1" fieldPosition="0"/>
    </format>
    <format dxfId="25">
      <pivotArea field="6" type="button" dataOnly="0" labelOnly="1" outline="0"/>
    </format>
    <format dxfId="26">
      <pivotArea outline="0" collapsedLevelsAreSubtotals="1" fieldPosition="0"/>
    </format>
    <format dxfId="27">
      <pivotArea type="all" dataOnly="0" outline="0" fieldPosition="0"/>
    </format>
    <format dxfId="28">
      <pivotArea outline="0" collapsedLevelsAreSubtotals="1" fieldPosition="0"/>
    </format>
    <format dxfId="29">
      <pivotArea field="8" type="button" dataOnly="0" labelOnly="1" outline="0" axis="axisRow" fieldPosition="0"/>
    </format>
    <format dxfId="30">
      <pivotArea dataOnly="0" labelOnly="1" outline="0" fieldPosition="0">
        <references count="1">
          <reference field="8" count="0"/>
        </references>
      </pivotArea>
    </format>
    <format dxfId="31">
      <pivotArea dataOnly="0" labelOnly="1" outline="0" axis="axisValues" fieldPosition="0"/>
    </format>
  </formats>
  <chartFormats count="3">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E57397-CFE9-4F80-AB80-2EBE4D5BB419}"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8">
  <location ref="A86:B90" firstHeaderRow="1" firstDataRow="1" firstDataCol="1"/>
  <pivotFields count="13">
    <pivotField compact="0" outline="0" showAll="0">
      <items count="3">
        <item x="0"/>
        <item x="1"/>
        <item t="default"/>
      </items>
    </pivotField>
    <pivotField compact="0" outline="0" subtotalTop="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sortType="ascending"/>
    <pivotField compact="0" outline="0" showAll="0"/>
    <pivotField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axis="axisRow" compact="0" outline="0" showAll="0">
      <items count="5">
        <item x="2"/>
        <item x="3"/>
        <item x="1"/>
        <item x="0"/>
        <item t="default"/>
      </items>
    </pivotField>
    <pivotField compact="0" numFmtId="10" outline="0" showAll="0"/>
    <pivotField compact="0" outline="0" showAll="0"/>
    <pivotField dataField="1" compact="0" outline="0" showAll="0"/>
    <pivotField compact="0" outline="0" showAll="0"/>
  </pivotFields>
  <rowFields count="1">
    <field x="8"/>
  </rowFields>
  <rowItems count="4">
    <i>
      <x/>
    </i>
    <i>
      <x v="1"/>
    </i>
    <i>
      <x v="2"/>
    </i>
    <i>
      <x v="3"/>
    </i>
  </rowItems>
  <colItems count="1">
    <i/>
  </colItems>
  <dataFields count="1">
    <dataField name="Average of Sales" fld="11" subtotal="average" baseField="8" baseItem="0" numFmtId="170"/>
  </dataFields>
  <formats count="19">
    <format dxfId="32">
      <pivotArea type="all" dataOnly="0" outline="0" fieldPosition="0"/>
    </format>
    <format dxfId="33">
      <pivotArea dataOnly="0" labelOnly="1" grandRow="1" outline="0" fieldPosition="0"/>
    </format>
    <format dxfId="34">
      <pivotArea type="all" dataOnly="0" outline="0" fieldPosition="0"/>
    </format>
    <format dxfId="35">
      <pivotArea outline="0" collapsedLevelsAreSubtotals="1" fieldPosition="0"/>
    </format>
    <format dxfId="36">
      <pivotArea type="origin" dataOnly="0" labelOnly="1" outline="0" fieldPosition="0"/>
    </format>
    <format dxfId="37">
      <pivotArea field="0" type="button" dataOnly="0" labelOnly="1" outline="0"/>
    </format>
    <format dxfId="38">
      <pivotArea type="topRight" dataOnly="0" labelOnly="1" outline="0" fieldPosition="0"/>
    </format>
    <format dxfId="39">
      <pivotArea outline="0" collapsedLevelsAreSubtotals="1" fieldPosition="0"/>
    </format>
    <format dxfId="40">
      <pivotArea type="all" dataOnly="0" outline="0" fieldPosition="0"/>
    </format>
    <format dxfId="41">
      <pivotArea outline="0" collapsedLevelsAreSubtotals="1" fieldPosition="0"/>
    </format>
    <format dxfId="42">
      <pivotArea field="6" type="button" dataOnly="0" labelOnly="1" outline="0"/>
    </format>
    <format dxfId="43">
      <pivotArea outline="0" fieldPosition="0">
        <references count="1">
          <reference field="8" count="1" selected="0">
            <x v="2"/>
          </reference>
        </references>
      </pivotArea>
    </format>
    <format dxfId="44">
      <pivotArea outline="0" collapsedLevelsAreSubtotals="1" fieldPosition="0"/>
    </format>
    <format dxfId="45">
      <pivotArea type="all" dataOnly="0" outline="0" fieldPosition="0"/>
    </format>
    <format dxfId="46">
      <pivotArea outline="0" collapsedLevelsAreSubtotals="1" fieldPosition="0"/>
    </format>
    <format dxfId="47">
      <pivotArea field="8" type="button" dataOnly="0" labelOnly="1" outline="0" axis="axisRow" fieldPosition="0"/>
    </format>
    <format dxfId="48">
      <pivotArea dataOnly="0" labelOnly="1" outline="0" fieldPosition="0">
        <references count="1">
          <reference field="8" count="0"/>
        </references>
      </pivotArea>
    </format>
    <format dxfId="49">
      <pivotArea dataOnly="0" labelOnly="1" outline="0" axis="axisValues" fieldPosition="0"/>
    </format>
    <format dxfId="50">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8" count="1" selected="0">
            <x v="2"/>
          </reference>
        </references>
      </pivotArea>
    </chartFormat>
    <chartFormat chart="24" format="4">
      <pivotArea type="data" outline="0" fieldPosition="0">
        <references count="2">
          <reference field="4294967294" count="1" selected="0">
            <x v="0"/>
          </reference>
          <reference field="8" count="1" selected="0">
            <x v="3"/>
          </reference>
        </references>
      </pivotArea>
    </chartFormat>
    <chartFormat chart="24" format="5">
      <pivotArea type="data" outline="0" fieldPosition="0">
        <references count="2">
          <reference field="4294967294" count="1" selected="0">
            <x v="0"/>
          </reference>
          <reference field="8" count="1" selected="0">
            <x v="1"/>
          </reference>
        </references>
      </pivotArea>
    </chartFormat>
    <chartFormat chart="24" format="6">
      <pivotArea type="data" outline="0" fieldPosition="0">
        <references count="2">
          <reference field="4294967294" count="1" selected="0">
            <x v="0"/>
          </reference>
          <reference field="8"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C27966-6618-4466-96EC-4D6168221071}" name="PivotTable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D4" firstHeaderRow="0" firstDataRow="1" firstDataCol="0"/>
  <pivotFields count="13">
    <pivotField compact="0" outline="0" showAll="0"/>
    <pivotField dataField="1" compact="0" outline="0" subtotalTop="0" showAll="0"/>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numFmtId="10" outline="0" showAll="0"/>
    <pivotField compact="0" outline="0" showAll="0"/>
    <pivotField dataField="1" compact="0" outline="0" showAll="0"/>
    <pivotField dataField="1" compact="0" outline="0" showAll="0"/>
  </pivotFields>
  <rowItems count="1">
    <i/>
  </rowItems>
  <colFields count="1">
    <field x="-2"/>
  </colFields>
  <colItems count="4">
    <i>
      <x/>
    </i>
    <i i="1">
      <x v="1"/>
    </i>
    <i i="2">
      <x v="2"/>
    </i>
    <i i="3">
      <x v="3"/>
    </i>
  </colItems>
  <dataFields count="4">
    <dataField name="Sum of Sales" fld="11" baseField="0" baseItem="0" numFmtId="167"/>
    <dataField name="Average of Sales" fld="11" subtotal="average" baseField="0" baseItem="1" numFmtId="168"/>
    <dataField name="Number of Items" fld="1" subtotal="count" baseField="0" baseItem="1"/>
    <dataField name="Average of Rating" fld="12" subtotal="average" baseField="0" baseItem="2" numFmtId="169"/>
  </dataFields>
  <formats count="7">
    <format dxfId="51">
      <pivotArea type="all" dataOnly="0" outline="0" fieldPosition="0"/>
    </format>
    <format dxfId="52">
      <pivotArea outline="0" collapsedLevelsAreSubtotals="1" fieldPosition="0"/>
    </format>
    <format dxfId="53">
      <pivotArea dataOnly="0" labelOnly="1" outline="0" fieldPosition="0">
        <references count="1">
          <reference field="4294967294" count="4">
            <x v="0"/>
            <x v="1"/>
            <x v="2"/>
            <x v="3"/>
          </reference>
        </references>
      </pivotArea>
    </format>
    <format dxfId="54">
      <pivotArea outline="0" fieldPosition="0">
        <references count="1">
          <reference field="4294967294" count="2" selected="0">
            <x v="0"/>
            <x v="1"/>
          </reference>
        </references>
      </pivotArea>
    </format>
    <format dxfId="55">
      <pivotArea outline="0" fieldPosition="0">
        <references count="1">
          <reference field="4294967294" count="1" selected="0">
            <x v="3"/>
          </reference>
        </references>
      </pivotArea>
    </format>
    <format dxfId="56">
      <pivotArea outline="0" fieldPosition="0">
        <references count="1">
          <reference field="4294967294" count="1" selected="0">
            <x v="0"/>
          </reference>
        </references>
      </pivotArea>
    </format>
    <format dxfId="57">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9D8D2A-5938-44CC-BAEA-A6B556DEA91D}"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6">
  <location ref="A79:B83" firstHeaderRow="1" firstDataRow="1" firstDataCol="1"/>
  <pivotFields count="13">
    <pivotField compact="0" outline="0" showAll="0">
      <items count="3">
        <item x="0"/>
        <item x="1"/>
        <item t="default"/>
      </items>
    </pivotField>
    <pivotField compact="0" outline="0" subtotalTop="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sortType="ascending"/>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axis="axisRow" compact="0" outline="0" showAll="0">
      <items count="5">
        <item x="2"/>
        <item x="3"/>
        <item x="1"/>
        <item x="0"/>
        <item t="default"/>
      </items>
    </pivotField>
    <pivotField compact="0" numFmtId="10" outline="0" showAll="0"/>
    <pivotField compact="0" outline="0" showAll="0"/>
    <pivotField dataField="1" compact="0" outline="0" showAll="0"/>
    <pivotField compact="0" outline="0" showAll="0"/>
  </pivotFields>
  <rowFields count="1">
    <field x="8"/>
  </rowFields>
  <rowItems count="4">
    <i>
      <x/>
    </i>
    <i>
      <x v="1"/>
    </i>
    <i>
      <x v="2"/>
    </i>
    <i>
      <x v="3"/>
    </i>
  </rowItems>
  <colItems count="1">
    <i/>
  </colItems>
  <dataFields count="1">
    <dataField name="Sum of Sales" fld="11" baseField="0" baseItem="0" numFmtId="164"/>
  </dataFields>
  <formats count="14">
    <format dxfId="58">
      <pivotArea type="all" dataOnly="0" outline="0" fieldPosition="0"/>
    </format>
    <format dxfId="59">
      <pivotArea dataOnly="0" labelOnly="1" grandRow="1" outline="0" fieldPosition="0"/>
    </format>
    <format dxfId="60">
      <pivotArea type="all" dataOnly="0" outline="0" fieldPosition="0"/>
    </format>
    <format dxfId="61">
      <pivotArea outline="0" collapsedLevelsAreSubtotals="1" fieldPosition="0"/>
    </format>
    <format dxfId="62">
      <pivotArea type="origin" dataOnly="0" labelOnly="1" outline="0" fieldPosition="0"/>
    </format>
    <format dxfId="63">
      <pivotArea field="0" type="button" dataOnly="0" labelOnly="1" outline="0"/>
    </format>
    <format dxfId="64">
      <pivotArea type="topRight" dataOnly="0" labelOnly="1" outline="0" fieldPosition="0"/>
    </format>
    <format dxfId="65">
      <pivotArea outline="0" collapsedLevelsAreSubtotals="1" fieldPosition="0"/>
    </format>
    <format dxfId="66">
      <pivotArea type="all" dataOnly="0" outline="0" fieldPosition="0"/>
    </format>
    <format dxfId="67">
      <pivotArea outline="0" collapsedLevelsAreSubtotals="1" fieldPosition="0"/>
    </format>
    <format dxfId="68">
      <pivotArea field="8" type="button" dataOnly="0" labelOnly="1" outline="0" axis="axisRow" fieldPosition="0"/>
    </format>
    <format dxfId="69">
      <pivotArea dataOnly="0" labelOnly="1" outline="0" fieldPosition="0">
        <references count="1">
          <reference field="8" count="0"/>
        </references>
      </pivotArea>
    </format>
    <format dxfId="70">
      <pivotArea dataOnly="0" labelOnly="1" outline="0" axis="axisValues" fieldPosition="0"/>
    </format>
    <format dxfId="71">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8" count="1" selected="0">
            <x v="3"/>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428F66-3C5E-44CB-9B1D-8F6560A7574A}"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2">
  <location ref="A61:B64" firstHeaderRow="1" firstDataRow="1" firstDataCol="1"/>
  <pivotFields count="13">
    <pivotField compact="0" outline="0" showAll="0">
      <items count="3">
        <item x="0"/>
        <item x="1"/>
        <item t="default"/>
      </items>
    </pivotField>
    <pivotField compact="0" outline="0" subtotalTop="0" showAll="0"/>
    <pivotField compact="0" outline="0" showAll="0"/>
    <pivotField compact="0" outline="0"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compact="0" outline="0" showAll="0" sortType="ascending"/>
    <pivotField compact="0" outline="0" showAll="0"/>
    <pivotField compact="0" outline="0" showAll="0">
      <items count="4">
        <item x="0"/>
        <item x="2"/>
        <item x="1"/>
        <item t="default"/>
      </items>
    </pivotField>
    <pivotField axis="axisRow" compact="0" outline="0" showAll="0">
      <items count="4">
        <item x="2"/>
        <item x="0"/>
        <item x="1"/>
        <item t="default"/>
      </items>
    </pivotField>
    <pivotField compact="0" outline="0" showAll="0"/>
    <pivotField compact="0" numFmtId="10" outline="0" showAll="0"/>
    <pivotField compact="0" outline="0" showAll="0"/>
    <pivotField dataField="1" compact="0" outline="0" showAll="0"/>
    <pivotField compact="0" outline="0" showAll="0"/>
  </pivotFields>
  <rowFields count="1">
    <field x="7"/>
  </rowFields>
  <rowItems count="3">
    <i>
      <x/>
    </i>
    <i>
      <x v="1"/>
    </i>
    <i>
      <x v="2"/>
    </i>
  </rowItems>
  <colItems count="1">
    <i/>
  </colItems>
  <dataFields count="1">
    <dataField name="Sum of Sales" fld="11" baseField="0" baseItem="0" numFmtId="164"/>
  </dataFields>
  <formats count="19">
    <format dxfId="72">
      <pivotArea type="all" dataOnly="0" outline="0" fieldPosition="0"/>
    </format>
    <format dxfId="73">
      <pivotArea dataOnly="0" labelOnly="1" grandRow="1" outline="0" fieldPosition="0"/>
    </format>
    <format dxfId="74">
      <pivotArea type="all" dataOnly="0" outline="0" fieldPosition="0"/>
    </format>
    <format dxfId="75">
      <pivotArea outline="0" collapsedLevelsAreSubtotals="1" fieldPosition="0"/>
    </format>
    <format dxfId="76">
      <pivotArea type="origin" dataOnly="0" labelOnly="1" outline="0" fieldPosition="0"/>
    </format>
    <format dxfId="77">
      <pivotArea field="0" type="button" dataOnly="0" labelOnly="1" outline="0"/>
    </format>
    <format dxfId="78">
      <pivotArea type="topRight" dataOnly="0" labelOnly="1" outline="0" fieldPosition="0"/>
    </format>
    <format dxfId="79">
      <pivotArea field="6" type="button" dataOnly="0" labelOnly="1" outline="0"/>
    </format>
    <format dxfId="80">
      <pivotArea outline="0" collapsedLevelsAreSubtotals="1" fieldPosition="0"/>
    </format>
    <format dxfId="81">
      <pivotArea type="all" dataOnly="0" outline="0" fieldPosition="0"/>
    </format>
    <format dxfId="82">
      <pivotArea outline="0" collapsedLevelsAreSubtotals="1" fieldPosition="0"/>
    </format>
    <format dxfId="83">
      <pivotArea field="3" type="button" dataOnly="0" labelOnly="1" outline="0"/>
    </format>
    <format dxfId="84">
      <pivotArea dataOnly="0" labelOnly="1" outline="0" axis="axisValues" fieldPosition="0"/>
    </format>
    <format dxfId="85">
      <pivotArea type="all" dataOnly="0" outline="0" fieldPosition="0"/>
    </format>
    <format dxfId="86">
      <pivotArea outline="0" collapsedLevelsAreSubtotals="1" fieldPosition="0"/>
    </format>
    <format dxfId="87">
      <pivotArea field="7" type="button" dataOnly="0" labelOnly="1" outline="0" axis="axisRow" fieldPosition="0"/>
    </format>
    <format dxfId="88">
      <pivotArea dataOnly="0" labelOnly="1" outline="0" fieldPosition="0">
        <references count="1">
          <reference field="7" count="0"/>
        </references>
      </pivotArea>
    </format>
    <format dxfId="89">
      <pivotArea dataOnly="0" labelOnly="1" outline="0" axis="axisValues" fieldPosition="0"/>
    </format>
    <format dxfId="90">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16" format="1">
      <pivotArea type="data" outline="0" fieldPosition="0">
        <references count="2">
          <reference field="4294967294" count="1" selected="0">
            <x v="0"/>
          </reference>
          <reference field="7" count="1" selected="0">
            <x v="0"/>
          </reference>
        </references>
      </pivotArea>
    </chartFormat>
    <chartFormat chart="16" format="2">
      <pivotArea type="data" outline="0" fieldPosition="0">
        <references count="2">
          <reference field="4294967294" count="1" selected="0">
            <x v="0"/>
          </reference>
          <reference field="7" count="1" selected="0">
            <x v="1"/>
          </reference>
        </references>
      </pivotArea>
    </chartFormat>
    <chartFormat chart="16" format="3">
      <pivotArea type="data" outline="0" fieldPosition="0">
        <references count="2">
          <reference field="4294967294" count="1" selected="0">
            <x v="0"/>
          </reference>
          <reference field="7" count="1" selected="0">
            <x v="2"/>
          </reference>
        </references>
      </pivotArea>
    </chartFormat>
    <chartFormat chart="19" format="9">
      <pivotArea type="data" outline="0" fieldPosition="0">
        <references count="1">
          <reference field="4294967294" count="1" selected="0">
            <x v="0"/>
          </reference>
        </references>
      </pivotArea>
    </chartFormat>
    <chartFormat chart="16" format="4">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 chart="21" format="10">
      <pivotArea type="data" outline="0" fieldPosition="0">
        <references count="2">
          <reference field="4294967294" count="1" selected="0">
            <x v="0"/>
          </reference>
          <reference field="7" count="1" selected="0">
            <x v="0"/>
          </reference>
        </references>
      </pivotArea>
    </chartFormat>
    <chartFormat chart="21" format="11">
      <pivotArea type="data" outline="0" fieldPosition="0">
        <references count="2">
          <reference field="4294967294" count="1" selected="0">
            <x v="0"/>
          </reference>
          <reference field="7" count="1" selected="0">
            <x v="1"/>
          </reference>
        </references>
      </pivotArea>
    </chartFormat>
    <chartFormat chart="21" format="1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E1B71F-7C94-424F-9112-AC1C6DF9CB89}"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0">
  <location ref="A18:C22" firstHeaderRow="1" firstDataRow="2" firstDataCol="1"/>
  <pivotFields count="13">
    <pivotField axis="axisCol" compact="0" outline="0" showAll="0">
      <items count="3">
        <item x="0"/>
        <item x="1"/>
        <item t="default"/>
      </items>
    </pivotField>
    <pivotField compact="0" outline="0" subtotalTop="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items count="4">
        <item x="2"/>
        <item x="0"/>
        <item x="1"/>
        <item t="default"/>
      </items>
    </pivotField>
    <pivotField compact="0" outline="0" showAll="0"/>
    <pivotField compact="0" numFmtId="10" outline="0" showAll="0"/>
    <pivotField compact="0" outline="0" showAll="0"/>
    <pivotField dataField="1" compact="0" outline="0" showAll="0"/>
    <pivotField compact="0" outline="0"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4">
    <format dxfId="91">
      <pivotArea type="all" dataOnly="0" outline="0" fieldPosition="0"/>
    </format>
    <format dxfId="92">
      <pivotArea dataOnly="0" labelOnly="1" grandRow="1" outline="0" fieldPosition="0"/>
    </format>
    <format dxfId="93">
      <pivotArea outline="0" fieldPosition="0">
        <references count="1">
          <reference field="0" count="0" selected="0"/>
        </references>
      </pivotArea>
    </format>
    <format dxfId="94">
      <pivotArea type="all" dataOnly="0" outline="0" fieldPosition="0"/>
    </format>
    <format dxfId="95">
      <pivotArea outline="0" collapsedLevelsAreSubtotals="1" fieldPosition="0"/>
    </format>
    <format dxfId="96">
      <pivotArea type="origin" dataOnly="0" labelOnly="1" outline="0" fieldPosition="0"/>
    </format>
    <format dxfId="97">
      <pivotArea field="0" type="button" dataOnly="0" labelOnly="1" outline="0" axis="axisCol" fieldPosition="0"/>
    </format>
    <format dxfId="98">
      <pivotArea type="topRight" dataOnly="0" labelOnly="1" outline="0" fieldPosition="0"/>
    </format>
    <format dxfId="99">
      <pivotArea field="6" type="button" dataOnly="0" labelOnly="1" outline="0" axis="axisRow" fieldPosition="0"/>
    </format>
    <format dxfId="100">
      <pivotArea dataOnly="0" labelOnly="1" outline="0" fieldPosition="0">
        <references count="1">
          <reference field="6" count="0"/>
        </references>
      </pivotArea>
    </format>
    <format dxfId="101">
      <pivotArea dataOnly="0" labelOnly="1" outline="0" fieldPosition="0">
        <references count="1">
          <reference field="0" count="0"/>
        </references>
      </pivotArea>
    </format>
    <format dxfId="102">
      <pivotArea outline="0" collapsedLevelsAreSubtotals="1" fieldPosition="0"/>
    </format>
    <format dxfId="103">
      <pivotArea outline="0" fieldPosition="0">
        <references count="1">
          <reference field="0" count="1" selected="0">
            <x v="0"/>
          </reference>
        </references>
      </pivotArea>
    </format>
    <format dxfId="104">
      <pivotArea outline="0" fieldPosition="0">
        <references count="1">
          <reference field="0" count="1" selected="0">
            <x v="1"/>
          </reference>
        </references>
      </pivotArea>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1"/>
          </reference>
          <reference field="6" count="1" selected="0">
            <x v="2"/>
          </reference>
        </references>
      </pivotArea>
    </chartFormat>
    <chartFormat chart="7" format="7">
      <pivotArea type="data" outline="0" fieldPosition="0">
        <references count="3">
          <reference field="4294967294" count="1" selected="0">
            <x v="0"/>
          </reference>
          <reference field="0" count="1" selected="0">
            <x v="1"/>
          </reference>
          <reference field="6" count="1" selected="0">
            <x v="1"/>
          </reference>
        </references>
      </pivotArea>
    </chartFormat>
    <chartFormat chart="7" format="8">
      <pivotArea type="data" outline="0" fieldPosition="0">
        <references count="3">
          <reference field="4294967294" count="1" selected="0">
            <x v="0"/>
          </reference>
          <reference field="0" count="1" selected="0">
            <x v="1"/>
          </reference>
          <reference field="6"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8CB40E-167F-429D-9AF4-899DE55845AA}"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0">
  <location ref="A70:B73" firstHeaderRow="1" firstDataRow="1" firstDataCol="1"/>
  <pivotFields count="13">
    <pivotField compact="0" outline="0" showAll="0">
      <items count="3">
        <item x="0"/>
        <item x="1"/>
        <item t="default"/>
      </items>
    </pivotField>
    <pivotField compact="0" outline="0" subtotalTop="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sortType="ascending"/>
    <pivotField compact="0" outline="0" showAll="0"/>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compact="0" outline="0" showAll="0"/>
    <pivotField compact="0" numFmtId="10" outline="0" showAll="0"/>
    <pivotField compact="0" outline="0" showAll="0"/>
    <pivotField dataField="1" compact="0" outline="0" showAll="0"/>
    <pivotField compact="0" outline="0" showAll="0"/>
  </pivotFields>
  <rowFields count="1">
    <field x="6"/>
  </rowFields>
  <rowItems count="3">
    <i>
      <x v="2"/>
    </i>
    <i>
      <x v="1"/>
    </i>
    <i>
      <x/>
    </i>
  </rowItems>
  <colItems count="1">
    <i/>
  </colItems>
  <dataFields count="1">
    <dataField name="Sum of Sales" fld="11" baseField="0" baseItem="0" numFmtId="164"/>
  </dataFields>
  <formats count="14">
    <format dxfId="105">
      <pivotArea type="all" dataOnly="0" outline="0" fieldPosition="0"/>
    </format>
    <format dxfId="106">
      <pivotArea dataOnly="0" labelOnly="1" grandRow="1" outline="0" fieldPosition="0"/>
    </format>
    <format dxfId="107">
      <pivotArea type="all" dataOnly="0" outline="0" fieldPosition="0"/>
    </format>
    <format dxfId="108">
      <pivotArea outline="0" collapsedLevelsAreSubtotals="1" fieldPosition="0"/>
    </format>
    <format dxfId="109">
      <pivotArea type="origin" dataOnly="0" labelOnly="1" outline="0" fieldPosition="0"/>
    </format>
    <format dxfId="110">
      <pivotArea field="0" type="button" dataOnly="0" labelOnly="1" outline="0"/>
    </format>
    <format dxfId="111">
      <pivotArea type="topRight" dataOnly="0" labelOnly="1" outline="0" fieldPosition="0"/>
    </format>
    <format dxfId="112">
      <pivotArea outline="0" collapsedLevelsAreSubtotals="1" fieldPosition="0"/>
    </format>
    <format dxfId="113">
      <pivotArea type="all" dataOnly="0" outline="0" fieldPosition="0"/>
    </format>
    <format dxfId="114">
      <pivotArea outline="0" collapsedLevelsAreSubtotals="1" fieldPosition="0"/>
    </format>
    <format dxfId="115">
      <pivotArea field="6" type="button" dataOnly="0" labelOnly="1" outline="0" axis="axisRow" fieldPosition="0"/>
    </format>
    <format dxfId="116">
      <pivotArea dataOnly="0" labelOnly="1" outline="0" fieldPosition="0">
        <references count="1">
          <reference field="6" count="0"/>
        </references>
      </pivotArea>
    </format>
    <format dxfId="117">
      <pivotArea dataOnly="0" labelOnly="1" outline="0" axis="axisValues" fieldPosition="0"/>
    </format>
    <format dxfId="118">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C832B6-194B-4C4E-A141-4141B7644DE1}"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4">
  <location ref="A27:B43" firstHeaderRow="1" firstDataRow="1" firstDataCol="1"/>
  <pivotFields count="13">
    <pivotField compact="0" outline="0" showAll="0">
      <items count="3">
        <item x="0"/>
        <item x="1"/>
        <item t="default"/>
      </items>
    </pivotField>
    <pivotField compact="0" outline="0" subtotalTop="0" showAll="0"/>
    <pivotField compact="0" outline="0" showAll="0"/>
    <pivotField axis="axisRow" compact="0" outline="0"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numFmtId="10" outline="0" showAll="0"/>
    <pivotField compact="0" outline="0" showAll="0"/>
    <pivotField dataField="1" compact="0" outline="0" showAll="0"/>
    <pivotField compact="0" outline="0"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7">
    <format dxfId="119">
      <pivotArea type="all" dataOnly="0" outline="0" fieldPosition="0"/>
    </format>
    <format dxfId="120">
      <pivotArea dataOnly="0" labelOnly="1" grandRow="1" outline="0" fieldPosition="0"/>
    </format>
    <format dxfId="121">
      <pivotArea type="all" dataOnly="0" outline="0" fieldPosition="0"/>
    </format>
    <format dxfId="122">
      <pivotArea outline="0" collapsedLevelsAreSubtotals="1" fieldPosition="0"/>
    </format>
    <format dxfId="123">
      <pivotArea type="origin" dataOnly="0" labelOnly="1" outline="0" fieldPosition="0"/>
    </format>
    <format dxfId="124">
      <pivotArea field="0" type="button" dataOnly="0" labelOnly="1" outline="0"/>
    </format>
    <format dxfId="125">
      <pivotArea type="topRight" dataOnly="0" labelOnly="1" outline="0" fieldPosition="0"/>
    </format>
    <format dxfId="126">
      <pivotArea field="6" type="button" dataOnly="0" labelOnly="1" outline="0"/>
    </format>
    <format dxfId="127">
      <pivotArea outline="0" collapsedLevelsAreSubtotals="1" fieldPosition="0"/>
    </format>
    <format dxfId="128">
      <pivotArea type="all" dataOnly="0" outline="0" fieldPosition="0"/>
    </format>
    <format dxfId="129">
      <pivotArea outline="0" collapsedLevelsAreSubtotals="1" fieldPosition="0"/>
    </format>
    <format dxfId="130">
      <pivotArea field="3" type="button" dataOnly="0" labelOnly="1" outline="0" axis="axisRow" fieldPosition="0"/>
    </format>
    <format dxfId="131">
      <pivotArea dataOnly="0" labelOnly="1" outline="0" fieldPosition="0">
        <references count="1">
          <reference field="3" count="0"/>
        </references>
      </pivotArea>
    </format>
    <format dxfId="132">
      <pivotArea dataOnly="0" labelOnly="1" outline="0" axis="axisValues" fieldPosition="0"/>
    </format>
    <format dxfId="133">
      <pivotArea outline="0" collapsedLevelsAreSubtotals="1" fieldPosition="0"/>
    </format>
    <format dxfId="134">
      <pivotArea outline="0" fieldPosition="0">
        <references count="1">
          <reference field="3" count="1" selected="0">
            <x v="12"/>
          </reference>
        </references>
      </pivotArea>
    </format>
    <format dxfId="135">
      <pivotArea outline="0" fieldPosition="0">
        <references count="1">
          <reference field="3" count="15" selected="0">
            <x v="0"/>
            <x v="1"/>
            <x v="2"/>
            <x v="3"/>
            <x v="4"/>
            <x v="5"/>
            <x v="6"/>
            <x v="7"/>
            <x v="8"/>
            <x v="9"/>
            <x v="10"/>
            <x v="11"/>
            <x v="13"/>
            <x v="14"/>
            <x v="15"/>
          </reference>
        </references>
      </pivotArea>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CD7D97-0B59-44C8-B0C7-8BCDB495EDB1}"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6">
  <location ref="A12:B14" firstHeaderRow="1" firstDataRow="1" firstDataCol="1"/>
  <pivotFields count="13">
    <pivotField axis="axisRow" compact="0" outline="0" showAll="0">
      <items count="3">
        <item x="1"/>
        <item x="0"/>
        <item t="default"/>
      </items>
    </pivotField>
    <pivotField compact="0" outline="0" subtotalTop="0" showAll="0"/>
    <pivotField compact="0" outline="0" showAll="0"/>
    <pivotField compact="0" outline="0" showAll="0">
      <items count="17">
        <item h="1" x="13"/>
        <item h="1" x="8"/>
        <item h="1" x="12"/>
        <item h="1" x="3"/>
        <item h="1" x="11"/>
        <item h="1" x="2"/>
        <item h="1" x="0"/>
        <item h="1" x="9"/>
        <item h="1" x="1"/>
        <item h="1" x="5"/>
        <item x="7"/>
        <item h="1" x="10"/>
        <item h="1" x="14"/>
        <item h="1" x="6"/>
        <item h="1" x="4"/>
        <item h="1"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numFmtId="10" outline="0" showAll="0"/>
    <pivotField compact="0" outline="0" showAll="0"/>
    <pivotField dataField="1" compact="0" outline="0" showAll="0"/>
    <pivotField compact="0" outline="0" showAll="0"/>
  </pivotFields>
  <rowFields count="1">
    <field x="0"/>
  </rowFields>
  <rowItems count="2">
    <i>
      <x/>
    </i>
    <i>
      <x v="1"/>
    </i>
  </rowItems>
  <colItems count="1">
    <i/>
  </colItems>
  <dataFields count="1">
    <dataField name="Sum of Sales" fld="11" baseField="0" baseItem="0" numFmtId="164"/>
  </dataFields>
  <formats count="15">
    <format dxfId="136">
      <pivotArea type="all" dataOnly="0" outline="0" fieldPosition="0"/>
    </format>
    <format dxfId="137">
      <pivotArea dataOnly="0" labelOnly="1" grandRow="1" outline="0" fieldPosition="0"/>
    </format>
    <format dxfId="138">
      <pivotArea type="all" dataOnly="0" outline="0" fieldPosition="0"/>
    </format>
    <format dxfId="139">
      <pivotArea outline="0" collapsedLevelsAreSubtotals="1" fieldPosition="0"/>
    </format>
    <format dxfId="140">
      <pivotArea type="all" dataOnly="0" outline="0" fieldPosition="0"/>
    </format>
    <format dxfId="141">
      <pivotArea outline="0" collapsedLevelsAreSubtotals="1" fieldPosition="0"/>
    </format>
    <format dxfId="142">
      <pivotArea outline="0" collapsedLevelsAreSubtotals="1" fieldPosition="0"/>
    </format>
    <format dxfId="143">
      <pivotArea type="all" dataOnly="0" outline="0" fieldPosition="0"/>
    </format>
    <format dxfId="144">
      <pivotArea outline="0" collapsedLevelsAreSubtotals="1" fieldPosition="0"/>
    </format>
    <format dxfId="145">
      <pivotArea field="0" type="button" dataOnly="0" labelOnly="1" outline="0" axis="axisRow" fieldPosition="0"/>
    </format>
    <format dxfId="146">
      <pivotArea dataOnly="0" labelOnly="1" outline="0" fieldPosition="0">
        <references count="1">
          <reference field="0" count="0"/>
        </references>
      </pivotArea>
    </format>
    <format dxfId="147">
      <pivotArea dataOnly="0" labelOnly="1" outline="0" axis="axisValues" fieldPosition="0"/>
    </format>
    <format dxfId="148">
      <pivotArea outline="0" fieldPosition="0">
        <references count="1">
          <reference field="0" count="1" selected="0">
            <x v="0"/>
          </reference>
        </references>
      </pivotArea>
    </format>
    <format dxfId="149">
      <pivotArea outline="0" fieldPosition="0">
        <references count="1">
          <reference field="0" count="1" selected="0">
            <x v="1"/>
          </reference>
        </references>
      </pivotArea>
    </format>
    <format dxfId="150">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7">
      <pivotArea type="data" outline="0" fieldPosition="0">
        <references count="1">
          <reference field="4294967294" count="1" selected="0">
            <x v="0"/>
          </reference>
        </references>
      </pivotArea>
    </chartFormat>
    <chartFormat chart="0" format="3">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49E7CF24-4E1F-40EA-96A8-34016F16CC3B}" sourceName="Outlet Size">
  <pivotTables>
    <pivotTable tabId="1" name="PivotTable1"/>
    <pivotTable tabId="1" name="PivotTable2"/>
    <pivotTable tabId="1" name="PivotTable4"/>
    <pivotTable tabId="1" name="PivotTable5"/>
    <pivotTable tabId="1" name="PivotTable6"/>
    <pivotTable tabId="1" name="PivotTable8"/>
    <pivotTable tabId="1" name="PivotTable9"/>
    <pivotTable tabId="1" name="PivotTable3"/>
    <pivotTable tabId="1" name="PivotTable7"/>
    <pivotTable tabId="1" name="PivotTable10"/>
  </pivotTables>
  <data>
    <tabular pivotCacheId="212233864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1" xr10:uid="{55C4003F-E9E3-4D52-B7E2-5037290CE812}" sourceName="Outlet Location Type">
  <pivotTables>
    <pivotTable tabId="1" name="PivotTable2"/>
    <pivotTable tabId="1" name="PivotTable1"/>
    <pivotTable tabId="1" name="PivotTable4"/>
    <pivotTable tabId="1" name="PivotTable6"/>
    <pivotTable tabId="1" name="PivotTable8"/>
  </pivotTables>
  <data>
    <tabular pivotCacheId="212233864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1" xr10:uid="{56576378-886F-44AE-80A3-8345425350AA}" sourceName="Item Type">
  <pivotTables>
    <pivotTable tabId="1" name="PivotTable2"/>
  </pivotTables>
  <data>
    <tabular pivotCacheId="2122338640">
      <items count="16">
        <i x="13"/>
        <i x="8"/>
        <i x="12"/>
        <i x="3"/>
        <i x="11"/>
        <i x="2"/>
        <i x="0"/>
        <i x="9"/>
        <i x="1"/>
        <i x="5"/>
        <i x="7" s="1"/>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F66BC545-59F7-46CD-9473-F01E5B8639E2}" cache="Slicer_Outlet_Size1" caption="Outlet Size" rowHeight="260350"/>
  <slicer name="Outlet Location Type 2" xr10:uid="{9DCBD825-F13E-4DA6-809B-7BA491A818F3}" cache="Slicer_Outlet_Location_Type1" caption="Outlet Location Type" rowHeight="260350"/>
  <slicer name="Item Type 2" xr10:uid="{61C209E2-C6BE-408E-A655-586EF1AA5633}" cache="Slicer_Item_Type1" caption="Item Type"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183A2-EE58-4E6D-AB2B-D2DAFBD68858}">
  <dimension ref="A1:K102"/>
  <sheetViews>
    <sheetView tabSelected="1" topLeftCell="A55" workbookViewId="0">
      <selection activeCell="B73" sqref="B73"/>
    </sheetView>
  </sheetViews>
  <sheetFormatPr defaultRowHeight="15.6" x14ac:dyDescent="0.3"/>
  <cols>
    <col min="1" max="1" width="23.19921875" bestFit="1" customWidth="1"/>
    <col min="2" max="2" width="11.3984375" bestFit="1" customWidth="1"/>
    <col min="3" max="3" width="7.3984375" bestFit="1" customWidth="1"/>
    <col min="4" max="4" width="15.69921875" bestFit="1" customWidth="1"/>
    <col min="5" max="5" width="11.3984375" bestFit="1" customWidth="1"/>
  </cols>
  <sheetData>
    <row r="1" spans="1:8" ht="16.2" thickBot="1" x14ac:dyDescent="0.35"/>
    <row r="2" spans="1:8" ht="16.2" thickBot="1" x14ac:dyDescent="0.35">
      <c r="A2" s="20" t="s">
        <v>51</v>
      </c>
      <c r="B2" s="19"/>
      <c r="C2" s="19"/>
      <c r="D2" s="19"/>
      <c r="E2" s="21"/>
    </row>
    <row r="3" spans="1:8" ht="16.2" thickBot="1" x14ac:dyDescent="0.35">
      <c r="A3" s="31" t="s">
        <v>7</v>
      </c>
      <c r="B3" s="36" t="s">
        <v>6</v>
      </c>
      <c r="C3" s="36" t="s">
        <v>50</v>
      </c>
      <c r="D3" s="30" t="s">
        <v>49</v>
      </c>
      <c r="E3" s="4"/>
    </row>
    <row r="4" spans="1:8" ht="16.2" thickBot="1" x14ac:dyDescent="0.35">
      <c r="A4" s="37">
        <v>1201681.4928000034</v>
      </c>
      <c r="B4" s="33">
        <v>140.99278338613203</v>
      </c>
      <c r="C4" s="36">
        <v>8523</v>
      </c>
      <c r="D4" s="35">
        <v>3.9658570925731196</v>
      </c>
      <c r="E4" s="4"/>
    </row>
    <row r="5" spans="1:8" x14ac:dyDescent="0.3">
      <c r="A5" s="5"/>
      <c r="E5" s="4"/>
    </row>
    <row r="6" spans="1:8" x14ac:dyDescent="0.3">
      <c r="A6" s="5"/>
      <c r="E6" s="4"/>
    </row>
    <row r="7" spans="1:8" ht="16.2" thickBot="1" x14ac:dyDescent="0.35">
      <c r="A7" s="5" t="s">
        <v>48</v>
      </c>
      <c r="B7" t="s">
        <v>47</v>
      </c>
      <c r="C7" t="s">
        <v>46</v>
      </c>
      <c r="D7" t="s">
        <v>45</v>
      </c>
      <c r="E7" s="4"/>
    </row>
    <row r="8" spans="1:8" ht="16.2" thickBot="1" x14ac:dyDescent="0.35">
      <c r="A8" s="34">
        <f>GETPIVOTDATA("Sum of Sales",$A$3)</f>
        <v>1201681.4928000034</v>
      </c>
      <c r="B8" s="33">
        <f>GETPIVOTDATA("Average of Sales",$A$3)</f>
        <v>140.99278338613203</v>
      </c>
      <c r="C8" s="2">
        <f>GETPIVOTDATA("Number of Items",$A$3)</f>
        <v>8523</v>
      </c>
      <c r="D8" s="32">
        <f>GETPIVOTDATA("Average of Rating",$A$3)</f>
        <v>3.9658570925731196</v>
      </c>
      <c r="E8" s="1"/>
    </row>
    <row r="10" spans="1:8" ht="16.2" thickBot="1" x14ac:dyDescent="0.35"/>
    <row r="11" spans="1:8" ht="16.2" thickBot="1" x14ac:dyDescent="0.35">
      <c r="A11" s="20" t="s">
        <v>44</v>
      </c>
      <c r="B11" s="19"/>
      <c r="C11" s="22"/>
      <c r="D11" s="22"/>
      <c r="E11" s="22"/>
      <c r="F11" s="22"/>
      <c r="G11" s="22"/>
      <c r="H11" s="21"/>
    </row>
    <row r="12" spans="1:8" ht="16.2" thickBot="1" x14ac:dyDescent="0.35">
      <c r="A12" s="12" t="s">
        <v>42</v>
      </c>
      <c r="B12" s="12" t="s">
        <v>7</v>
      </c>
      <c r="H12" s="4"/>
    </row>
    <row r="13" spans="1:8" x14ac:dyDescent="0.3">
      <c r="A13" s="11" t="s">
        <v>40</v>
      </c>
      <c r="B13" s="18">
        <v>22269.793999999994</v>
      </c>
      <c r="H13" s="4"/>
    </row>
    <row r="14" spans="1:8" ht="16.2" thickBot="1" x14ac:dyDescent="0.35">
      <c r="A14" s="7" t="s">
        <v>41</v>
      </c>
      <c r="B14" s="16">
        <v>37180.069799999997</v>
      </c>
      <c r="H14" s="4"/>
    </row>
    <row r="15" spans="1:8" ht="16.2" thickBot="1" x14ac:dyDescent="0.35">
      <c r="A15" s="3"/>
      <c r="B15" s="2"/>
      <c r="C15" s="2"/>
      <c r="D15" s="2"/>
      <c r="E15" s="2"/>
      <c r="F15" s="2"/>
      <c r="G15" s="2"/>
      <c r="H15" s="1"/>
    </row>
    <row r="16" spans="1:8" ht="16.2" thickBot="1" x14ac:dyDescent="0.35"/>
    <row r="17" spans="1:10" ht="16.2" thickBot="1" x14ac:dyDescent="0.35">
      <c r="A17" s="20" t="s">
        <v>43</v>
      </c>
      <c r="B17" s="19"/>
      <c r="C17" s="19"/>
      <c r="D17" s="19"/>
      <c r="E17" s="22"/>
      <c r="F17" s="22"/>
      <c r="G17" s="22"/>
      <c r="H17" s="22"/>
      <c r="I17" s="21"/>
    </row>
    <row r="18" spans="1:10" ht="16.2" thickBot="1" x14ac:dyDescent="0.35">
      <c r="A18" s="12" t="s">
        <v>7</v>
      </c>
      <c r="B18" s="12" t="s">
        <v>42</v>
      </c>
      <c r="C18" s="12"/>
      <c r="I18" s="4"/>
    </row>
    <row r="19" spans="1:10" ht="16.2" thickBot="1" x14ac:dyDescent="0.35">
      <c r="A19" s="12" t="s">
        <v>13</v>
      </c>
      <c r="B19" s="31" t="s">
        <v>41</v>
      </c>
      <c r="C19" s="30" t="s">
        <v>40</v>
      </c>
      <c r="I19" s="4"/>
    </row>
    <row r="20" spans="1:10" x14ac:dyDescent="0.3">
      <c r="A20" s="11" t="s">
        <v>9</v>
      </c>
      <c r="B20" s="29">
        <v>121349.89940000001</v>
      </c>
      <c r="C20" s="28">
        <v>215047.9126000001</v>
      </c>
      <c r="I20" s="4"/>
    </row>
    <row r="21" spans="1:10" x14ac:dyDescent="0.3">
      <c r="A21" s="9" t="s">
        <v>10</v>
      </c>
      <c r="B21" s="27">
        <v>138685.86819999994</v>
      </c>
      <c r="C21" s="26">
        <v>254464.77940000014</v>
      </c>
      <c r="I21" s="4"/>
    </row>
    <row r="22" spans="1:10" ht="16.2" thickBot="1" x14ac:dyDescent="0.35">
      <c r="A22" s="7" t="s">
        <v>11</v>
      </c>
      <c r="B22" s="25">
        <v>165326.0368</v>
      </c>
      <c r="C22" s="24">
        <v>306806.99640000012</v>
      </c>
      <c r="I22" s="4"/>
    </row>
    <row r="23" spans="1:10" ht="16.2" thickBot="1" x14ac:dyDescent="0.35">
      <c r="A23" s="3"/>
      <c r="B23" s="2"/>
      <c r="C23" s="2"/>
      <c r="D23" s="2"/>
      <c r="E23" s="2"/>
      <c r="F23" s="2"/>
      <c r="G23" s="2"/>
      <c r="H23" s="2"/>
      <c r="I23" s="1"/>
    </row>
    <row r="25" spans="1:10" ht="16.2" thickBot="1" x14ac:dyDescent="0.35"/>
    <row r="26" spans="1:10" ht="16.2" thickBot="1" x14ac:dyDescent="0.35">
      <c r="A26" s="20" t="s">
        <v>39</v>
      </c>
      <c r="B26" s="19"/>
      <c r="C26" s="22"/>
      <c r="D26" s="22"/>
      <c r="E26" s="22"/>
      <c r="F26" s="22"/>
      <c r="G26" s="22"/>
      <c r="H26" s="22"/>
      <c r="I26" s="22"/>
      <c r="J26" s="21"/>
    </row>
    <row r="27" spans="1:10" ht="16.2" thickBot="1" x14ac:dyDescent="0.35">
      <c r="A27" s="12" t="s">
        <v>38</v>
      </c>
      <c r="B27" s="12" t="s">
        <v>7</v>
      </c>
      <c r="J27" s="4"/>
    </row>
    <row r="28" spans="1:10" x14ac:dyDescent="0.3">
      <c r="A28" s="11" t="s">
        <v>37</v>
      </c>
      <c r="B28" s="18">
        <v>9077.869999999999</v>
      </c>
      <c r="J28" s="4"/>
    </row>
    <row r="29" spans="1:10" x14ac:dyDescent="0.3">
      <c r="A29" s="9" t="s">
        <v>36</v>
      </c>
      <c r="B29" s="17">
        <v>15596.696600000001</v>
      </c>
      <c r="J29" s="4"/>
    </row>
    <row r="30" spans="1:10" x14ac:dyDescent="0.3">
      <c r="A30" s="9" t="s">
        <v>35</v>
      </c>
      <c r="B30" s="17">
        <v>21880.027399999992</v>
      </c>
      <c r="J30" s="4"/>
    </row>
    <row r="31" spans="1:10" x14ac:dyDescent="0.3">
      <c r="A31" s="9" t="s">
        <v>34</v>
      </c>
      <c r="B31" s="17">
        <v>22451.891599999999</v>
      </c>
      <c r="J31" s="4"/>
    </row>
    <row r="32" spans="1:10" x14ac:dyDescent="0.3">
      <c r="A32" s="9" t="s">
        <v>33</v>
      </c>
      <c r="B32" s="17">
        <v>29334.680599999996</v>
      </c>
      <c r="J32" s="4"/>
    </row>
    <row r="33" spans="1:10" x14ac:dyDescent="0.3">
      <c r="A33" s="9" t="s">
        <v>32</v>
      </c>
      <c r="B33" s="17">
        <v>35379.119800000015</v>
      </c>
      <c r="J33" s="4"/>
    </row>
    <row r="34" spans="1:10" x14ac:dyDescent="0.3">
      <c r="A34" s="9" t="s">
        <v>31</v>
      </c>
      <c r="B34" s="17">
        <v>58514.166999999987</v>
      </c>
      <c r="J34" s="4"/>
    </row>
    <row r="35" spans="1:10" x14ac:dyDescent="0.3">
      <c r="A35" s="9" t="s">
        <v>30</v>
      </c>
      <c r="B35" s="17">
        <v>59449.863799999992</v>
      </c>
      <c r="J35" s="4"/>
    </row>
    <row r="36" spans="1:10" x14ac:dyDescent="0.3">
      <c r="A36" s="9" t="s">
        <v>29</v>
      </c>
      <c r="B36" s="17">
        <v>68025.838800000012</v>
      </c>
      <c r="J36" s="4"/>
    </row>
    <row r="37" spans="1:10" x14ac:dyDescent="0.3">
      <c r="A37" s="9" t="s">
        <v>28</v>
      </c>
      <c r="B37" s="17">
        <v>81894.736400000009</v>
      </c>
      <c r="J37" s="4"/>
    </row>
    <row r="38" spans="1:10" x14ac:dyDescent="0.3">
      <c r="A38" s="9" t="s">
        <v>27</v>
      </c>
      <c r="B38" s="17">
        <v>90706.728999999992</v>
      </c>
      <c r="J38" s="4"/>
    </row>
    <row r="39" spans="1:10" x14ac:dyDescent="0.3">
      <c r="A39" s="9" t="s">
        <v>26</v>
      </c>
      <c r="B39" s="17">
        <v>101276.46159999995</v>
      </c>
      <c r="J39" s="4"/>
    </row>
    <row r="40" spans="1:10" x14ac:dyDescent="0.3">
      <c r="A40" s="9" t="s">
        <v>25</v>
      </c>
      <c r="B40" s="17">
        <v>118558.88140000009</v>
      </c>
      <c r="J40" s="4"/>
    </row>
    <row r="41" spans="1:10" x14ac:dyDescent="0.3">
      <c r="A41" s="9" t="s">
        <v>24</v>
      </c>
      <c r="B41" s="17">
        <v>135976.52539999998</v>
      </c>
      <c r="J41" s="4"/>
    </row>
    <row r="42" spans="1:10" x14ac:dyDescent="0.3">
      <c r="A42" s="9" t="s">
        <v>23</v>
      </c>
      <c r="B42" s="17">
        <v>175433.92240000021</v>
      </c>
      <c r="J42" s="4"/>
    </row>
    <row r="43" spans="1:10" ht="16.2" thickBot="1" x14ac:dyDescent="0.35">
      <c r="A43" s="7" t="s">
        <v>22</v>
      </c>
      <c r="B43" s="16">
        <v>178124.08099999995</v>
      </c>
      <c r="C43" s="2"/>
      <c r="D43" s="2"/>
      <c r="E43" s="2"/>
      <c r="F43" s="2"/>
      <c r="G43" s="2"/>
      <c r="H43" s="2"/>
      <c r="I43" s="2"/>
      <c r="J43" s="1"/>
    </row>
    <row r="46" spans="1:10" ht="16.2" thickBot="1" x14ac:dyDescent="0.35"/>
    <row r="47" spans="1:10" ht="16.2" thickBot="1" x14ac:dyDescent="0.35">
      <c r="A47" s="20" t="s">
        <v>21</v>
      </c>
      <c r="B47" s="19"/>
      <c r="C47" s="19"/>
      <c r="D47" s="22"/>
      <c r="E47" s="22"/>
      <c r="F47" s="22"/>
      <c r="G47" s="22"/>
      <c r="H47" s="22"/>
      <c r="I47" s="22"/>
      <c r="J47" s="21"/>
    </row>
    <row r="48" spans="1:10" ht="16.2" thickBot="1" x14ac:dyDescent="0.35">
      <c r="A48" s="12" t="s">
        <v>20</v>
      </c>
      <c r="B48" s="12" t="s">
        <v>7</v>
      </c>
      <c r="J48" s="4"/>
    </row>
    <row r="49" spans="1:10" x14ac:dyDescent="0.3">
      <c r="A49" s="11">
        <v>2011</v>
      </c>
      <c r="B49" s="18">
        <v>78131.566599999976</v>
      </c>
      <c r="J49" s="4"/>
    </row>
    <row r="50" spans="1:10" x14ac:dyDescent="0.3">
      <c r="A50" s="9">
        <v>2012</v>
      </c>
      <c r="B50" s="17">
        <v>130476.85979999998</v>
      </c>
      <c r="J50" s="4"/>
    </row>
    <row r="51" spans="1:10" x14ac:dyDescent="0.3">
      <c r="A51" s="9">
        <v>2014</v>
      </c>
      <c r="B51" s="17">
        <v>131809.01560000007</v>
      </c>
      <c r="J51" s="4"/>
    </row>
    <row r="52" spans="1:10" x14ac:dyDescent="0.3">
      <c r="A52" s="9">
        <v>2015</v>
      </c>
      <c r="B52" s="17">
        <v>130942.78019999999</v>
      </c>
      <c r="J52" s="4"/>
    </row>
    <row r="53" spans="1:10" x14ac:dyDescent="0.3">
      <c r="A53" s="9">
        <v>2016</v>
      </c>
      <c r="B53" s="17">
        <v>132113.36980000007</v>
      </c>
      <c r="J53" s="4"/>
    </row>
    <row r="54" spans="1:10" x14ac:dyDescent="0.3">
      <c r="A54" s="9">
        <v>2017</v>
      </c>
      <c r="B54" s="17">
        <v>133103.90699999989</v>
      </c>
      <c r="J54" s="4"/>
    </row>
    <row r="55" spans="1:10" x14ac:dyDescent="0.3">
      <c r="A55" s="9">
        <v>2018</v>
      </c>
      <c r="B55" s="17">
        <v>204522.25700000025</v>
      </c>
      <c r="J55" s="4"/>
    </row>
    <row r="56" spans="1:10" x14ac:dyDescent="0.3">
      <c r="A56" s="9">
        <v>2020</v>
      </c>
      <c r="B56" s="17">
        <v>129103.96039999987</v>
      </c>
      <c r="J56" s="4"/>
    </row>
    <row r="57" spans="1:10" ht="16.2" thickBot="1" x14ac:dyDescent="0.35">
      <c r="A57" s="7">
        <v>2022</v>
      </c>
      <c r="B57" s="16">
        <v>131477.77639999994</v>
      </c>
      <c r="C57" s="2"/>
      <c r="D57" s="2"/>
      <c r="E57" s="2"/>
      <c r="F57" s="2"/>
      <c r="G57" s="2"/>
      <c r="H57" s="2"/>
      <c r="I57" s="2"/>
      <c r="J57" s="1"/>
    </row>
    <row r="59" spans="1:10" ht="16.2" thickBot="1" x14ac:dyDescent="0.35"/>
    <row r="60" spans="1:10" ht="16.2" thickBot="1" x14ac:dyDescent="0.35">
      <c r="A60" s="20" t="s">
        <v>19</v>
      </c>
      <c r="B60" s="19"/>
      <c r="C60" s="22"/>
      <c r="D60" s="22"/>
      <c r="E60" s="22"/>
      <c r="F60" s="21"/>
    </row>
    <row r="61" spans="1:10" ht="16.2" thickBot="1" x14ac:dyDescent="0.35">
      <c r="A61" s="12" t="s">
        <v>18</v>
      </c>
      <c r="B61" s="12" t="s">
        <v>7</v>
      </c>
      <c r="F61" s="4"/>
    </row>
    <row r="62" spans="1:10" x14ac:dyDescent="0.3">
      <c r="A62" s="11" t="s">
        <v>17</v>
      </c>
      <c r="B62" s="18">
        <v>248991.58600000024</v>
      </c>
      <c r="F62" s="4"/>
    </row>
    <row r="63" spans="1:10" x14ac:dyDescent="0.3">
      <c r="A63" s="9" t="s">
        <v>16</v>
      </c>
      <c r="B63" s="17">
        <v>507895.7363999993</v>
      </c>
      <c r="F63" s="4"/>
    </row>
    <row r="64" spans="1:10" ht="16.2" thickBot="1" x14ac:dyDescent="0.35">
      <c r="A64" s="7" t="s">
        <v>15</v>
      </c>
      <c r="B64" s="16">
        <v>444794.17039999936</v>
      </c>
      <c r="F64" s="4"/>
    </row>
    <row r="65" spans="1:11" x14ac:dyDescent="0.3">
      <c r="A65" s="5"/>
      <c r="F65" s="4"/>
    </row>
    <row r="66" spans="1:11" ht="16.2" thickBot="1" x14ac:dyDescent="0.35">
      <c r="A66" s="3"/>
      <c r="B66" s="2"/>
      <c r="C66" s="2"/>
      <c r="D66" s="2"/>
      <c r="E66" s="2"/>
      <c r="F66" s="1"/>
    </row>
    <row r="68" spans="1:11" ht="16.2" thickBot="1" x14ac:dyDescent="0.35"/>
    <row r="69" spans="1:11" ht="16.2" thickBot="1" x14ac:dyDescent="0.35">
      <c r="A69" s="20" t="s">
        <v>14</v>
      </c>
      <c r="B69" s="19"/>
      <c r="C69" s="22"/>
      <c r="D69" s="22"/>
      <c r="E69" s="22"/>
      <c r="F69" s="22"/>
      <c r="G69" s="22"/>
      <c r="H69" s="22"/>
      <c r="I69" s="22"/>
      <c r="J69" s="22"/>
      <c r="K69" s="21"/>
    </row>
    <row r="70" spans="1:11" ht="16.2" thickBot="1" x14ac:dyDescent="0.35">
      <c r="A70" s="12" t="s">
        <v>13</v>
      </c>
      <c r="B70" s="12" t="s">
        <v>7</v>
      </c>
      <c r="D70" t="s">
        <v>12</v>
      </c>
      <c r="K70" s="4"/>
    </row>
    <row r="71" spans="1:11" ht="16.2" thickBot="1" x14ac:dyDescent="0.35">
      <c r="A71" s="11" t="s">
        <v>11</v>
      </c>
      <c r="B71" s="18">
        <v>472133.03319999954</v>
      </c>
      <c r="D71" t="str">
        <f>A71</f>
        <v>Tier 3</v>
      </c>
      <c r="E71" s="18">
        <f>GETPIVOTDATA("Sales",$A$70,"Outlet Location Type",A71)</f>
        <v>472133.03319999954</v>
      </c>
      <c r="K71" s="4"/>
    </row>
    <row r="72" spans="1:11" ht="16.2" thickBot="1" x14ac:dyDescent="0.35">
      <c r="A72" s="9" t="s">
        <v>10</v>
      </c>
      <c r="B72" s="17">
        <v>393150.64759999956</v>
      </c>
      <c r="D72" t="str">
        <f>A72</f>
        <v>Tier 2</v>
      </c>
      <c r="E72" s="18">
        <f>GETPIVOTDATA("Sales",$A$70,"Outlet Location Type",A72)</f>
        <v>393150.64759999956</v>
      </c>
      <c r="K72" s="4"/>
    </row>
    <row r="73" spans="1:11" ht="16.2" thickBot="1" x14ac:dyDescent="0.35">
      <c r="A73" s="7" t="s">
        <v>9</v>
      </c>
      <c r="B73" s="16">
        <v>336397.81199999945</v>
      </c>
      <c r="D73" t="str">
        <f>A73</f>
        <v>Tier 1</v>
      </c>
      <c r="E73" s="18">
        <f>GETPIVOTDATA("Sales",$A$70,"Outlet Location Type",A73)</f>
        <v>336397.81199999945</v>
      </c>
      <c r="K73" s="4"/>
    </row>
    <row r="74" spans="1:11" x14ac:dyDescent="0.3">
      <c r="A74" s="5"/>
      <c r="K74" s="4"/>
    </row>
    <row r="75" spans="1:11" ht="16.2" thickBot="1" x14ac:dyDescent="0.35">
      <c r="A75" s="3"/>
      <c r="B75" s="2"/>
      <c r="C75" s="2"/>
      <c r="D75" s="2"/>
      <c r="E75" s="2"/>
      <c r="F75" s="2"/>
      <c r="G75" s="2"/>
      <c r="H75" s="2"/>
      <c r="I75" s="2"/>
      <c r="J75" s="2"/>
      <c r="K75" s="1"/>
    </row>
    <row r="76" spans="1:11" ht="16.2" thickBot="1" x14ac:dyDescent="0.35"/>
    <row r="77" spans="1:11" ht="16.2" thickBot="1" x14ac:dyDescent="0.35">
      <c r="A77" s="23"/>
      <c r="B77" s="22"/>
      <c r="C77" s="22"/>
      <c r="D77" s="22"/>
      <c r="E77" s="22"/>
      <c r="F77" s="22"/>
      <c r="G77" s="21"/>
    </row>
    <row r="78" spans="1:11" ht="16.2" thickBot="1" x14ac:dyDescent="0.35">
      <c r="A78" s="20" t="s">
        <v>8</v>
      </c>
      <c r="B78" s="19"/>
      <c r="G78" s="4"/>
    </row>
    <row r="79" spans="1:11" ht="16.2" thickBot="1" x14ac:dyDescent="0.35">
      <c r="A79" s="12" t="s">
        <v>5</v>
      </c>
      <c r="B79" s="12" t="s">
        <v>7</v>
      </c>
      <c r="G79" s="4"/>
    </row>
    <row r="80" spans="1:11" x14ac:dyDescent="0.3">
      <c r="A80" s="11" t="s">
        <v>3</v>
      </c>
      <c r="B80" s="18">
        <v>151939.149</v>
      </c>
      <c r="G80" s="4"/>
    </row>
    <row r="81" spans="1:7" x14ac:dyDescent="0.3">
      <c r="A81" s="9" t="s">
        <v>2</v>
      </c>
      <c r="B81" s="17">
        <v>130714.67460000006</v>
      </c>
      <c r="G81" s="4"/>
    </row>
    <row r="82" spans="1:7" x14ac:dyDescent="0.3">
      <c r="A82" s="9" t="s">
        <v>1</v>
      </c>
      <c r="B82" s="17">
        <v>131477.77639999994</v>
      </c>
      <c r="G82" s="4"/>
    </row>
    <row r="83" spans="1:7" ht="16.2" thickBot="1" x14ac:dyDescent="0.35">
      <c r="A83" s="7" t="s">
        <v>0</v>
      </c>
      <c r="B83" s="16">
        <v>787549.89280000131</v>
      </c>
      <c r="G83" s="4"/>
    </row>
    <row r="84" spans="1:7" x14ac:dyDescent="0.3">
      <c r="A84" s="5"/>
      <c r="G84" s="4"/>
    </row>
    <row r="85" spans="1:7" ht="16.2" thickBot="1" x14ac:dyDescent="0.35">
      <c r="A85" s="5"/>
      <c r="G85" s="4"/>
    </row>
    <row r="86" spans="1:7" ht="16.2" thickBot="1" x14ac:dyDescent="0.35">
      <c r="A86" s="12" t="s">
        <v>5</v>
      </c>
      <c r="B86" s="12" t="s">
        <v>6</v>
      </c>
      <c r="G86" s="4"/>
    </row>
    <row r="87" spans="1:7" x14ac:dyDescent="0.3">
      <c r="A87" s="11" t="s">
        <v>3</v>
      </c>
      <c r="B87" s="15">
        <v>140.29468975069253</v>
      </c>
      <c r="G87" s="4"/>
    </row>
    <row r="88" spans="1:7" x14ac:dyDescent="0.3">
      <c r="A88" s="9" t="s">
        <v>2</v>
      </c>
      <c r="B88" s="14">
        <v>139.80179101604284</v>
      </c>
      <c r="G88" s="4"/>
    </row>
    <row r="89" spans="1:7" x14ac:dyDescent="0.3">
      <c r="A89" s="9" t="s">
        <v>1</v>
      </c>
      <c r="B89" s="14">
        <v>141.67863836206891</v>
      </c>
      <c r="G89" s="4"/>
    </row>
    <row r="90" spans="1:7" ht="16.2" thickBot="1" x14ac:dyDescent="0.35">
      <c r="A90" s="7" t="s">
        <v>0</v>
      </c>
      <c r="B90" s="13">
        <v>141.21389506903375</v>
      </c>
      <c r="G90" s="4"/>
    </row>
    <row r="91" spans="1:7" x14ac:dyDescent="0.3">
      <c r="A91" s="5"/>
      <c r="G91" s="4"/>
    </row>
    <row r="92" spans="1:7" x14ac:dyDescent="0.3">
      <c r="A92" s="5"/>
      <c r="G92" s="4"/>
    </row>
    <row r="93" spans="1:7" x14ac:dyDescent="0.3">
      <c r="A93" s="5"/>
      <c r="G93" s="4"/>
    </row>
    <row r="94" spans="1:7" x14ac:dyDescent="0.3">
      <c r="A94" s="5"/>
      <c r="G94" s="4"/>
    </row>
    <row r="95" spans="1:7" ht="16.2" thickBot="1" x14ac:dyDescent="0.35">
      <c r="A95" s="5"/>
      <c r="G95" s="4"/>
    </row>
    <row r="96" spans="1:7" ht="16.2" thickBot="1" x14ac:dyDescent="0.35">
      <c r="A96" s="12" t="s">
        <v>5</v>
      </c>
      <c r="B96" s="12" t="s">
        <v>4</v>
      </c>
      <c r="G96" s="4"/>
    </row>
    <row r="97" spans="1:7" x14ac:dyDescent="0.3">
      <c r="A97" s="11" t="s">
        <v>3</v>
      </c>
      <c r="B97" s="10">
        <v>1083</v>
      </c>
      <c r="G97" s="4"/>
    </row>
    <row r="98" spans="1:7" x14ac:dyDescent="0.3">
      <c r="A98" s="9" t="s">
        <v>2</v>
      </c>
      <c r="B98" s="8">
        <v>935</v>
      </c>
      <c r="G98" s="4"/>
    </row>
    <row r="99" spans="1:7" x14ac:dyDescent="0.3">
      <c r="A99" s="9" t="s">
        <v>1</v>
      </c>
      <c r="B99" s="8">
        <v>928</v>
      </c>
      <c r="G99" s="4"/>
    </row>
    <row r="100" spans="1:7" ht="16.2" thickBot="1" x14ac:dyDescent="0.35">
      <c r="A100" s="7" t="s">
        <v>0</v>
      </c>
      <c r="B100" s="6">
        <v>5577</v>
      </c>
      <c r="G100" s="4"/>
    </row>
    <row r="101" spans="1:7" x14ac:dyDescent="0.3">
      <c r="A101" s="5"/>
      <c r="G101" s="4"/>
    </row>
    <row r="102" spans="1:7" ht="16.2" thickBot="1" x14ac:dyDescent="0.35">
      <c r="A102" s="3"/>
      <c r="B102" s="2"/>
      <c r="C102" s="2"/>
      <c r="D102" s="2"/>
      <c r="E102" s="2"/>
      <c r="F102" s="2"/>
      <c r="G102" s="1"/>
    </row>
  </sheetData>
  <mergeCells count="8">
    <mergeCell ref="A69:B69"/>
    <mergeCell ref="A78:B78"/>
    <mergeCell ref="A2:D2"/>
    <mergeCell ref="A11:B11"/>
    <mergeCell ref="A17:D17"/>
    <mergeCell ref="A26:B26"/>
    <mergeCell ref="A47:C47"/>
    <mergeCell ref="A60:B60"/>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Design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yuthikafeb5@gmail.com</dc:creator>
  <cp:lastModifiedBy>yuthikafeb5@gmail.com</cp:lastModifiedBy>
  <dcterms:created xsi:type="dcterms:W3CDTF">2026-04-22T04:56:45Z</dcterms:created>
  <dcterms:modified xsi:type="dcterms:W3CDTF">2026-04-22T04:57:53Z</dcterms:modified>
</cp:coreProperties>
</file>